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32" windowWidth="23892" windowHeight="9948" activeTab="1"/>
  </bookViews>
  <sheets>
    <sheet name="EFD" sheetId="3" r:id="rId1"/>
    <sheet name="Charts" sheetId="5" r:id="rId2"/>
  </sheets>
  <functionGroups/>
  <calcPr calcId="125725"/>
</workbook>
</file>

<file path=xl/calcChain.xml><?xml version="1.0" encoding="utf-8"?>
<calcChain xmlns="http://schemas.openxmlformats.org/spreadsheetml/2006/main">
  <c r="Q44" i="5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43"/>
  <c r="S44"/>
  <c r="S45"/>
  <c r="S43"/>
  <c r="R44"/>
  <c r="R45"/>
  <c r="B45"/>
  <c r="B44"/>
  <c r="R43"/>
  <c r="P44"/>
  <c r="P43"/>
  <c r="U44"/>
  <c r="U43"/>
  <c r="U30" i="3"/>
  <c r="L30"/>
  <c r="N26"/>
  <c r="N24"/>
  <c r="N22"/>
  <c r="N21"/>
  <c r="N20"/>
  <c r="S9"/>
  <c r="S8"/>
  <c r="S7"/>
  <c r="S6"/>
  <c r="R9"/>
  <c r="R8"/>
  <c r="R7"/>
  <c r="R6"/>
  <c r="K43" i="5"/>
  <c r="J43"/>
  <c r="G43"/>
  <c r="F43"/>
  <c r="E43"/>
  <c r="N6" i="3"/>
  <c r="O6"/>
  <c r="O7"/>
  <c r="O8"/>
  <c r="O9"/>
  <c r="N7"/>
  <c r="N8"/>
  <c r="N9"/>
  <c r="I43" i="5"/>
  <c r="H43" l="1"/>
  <c r="L20" i="3"/>
  <c r="L21"/>
  <c r="O43" i="5"/>
  <c r="N43"/>
  <c r="C44" l="1"/>
  <c r="M23" i="3"/>
  <c r="M22"/>
  <c r="J22"/>
  <c r="K22"/>
  <c r="G44" i="5"/>
  <c r="E44"/>
  <c r="F44"/>
  <c r="I44"/>
  <c r="O22" i="3"/>
  <c r="P22"/>
  <c r="H44" i="5" l="1"/>
  <c r="K44"/>
  <c r="J44"/>
  <c r="O44"/>
  <c r="N44"/>
  <c r="C45"/>
  <c r="U22" i="3"/>
  <c r="S22"/>
  <c r="L22"/>
  <c r="J23"/>
  <c r="K23"/>
  <c r="G45" i="5"/>
  <c r="E45"/>
  <c r="F45"/>
  <c r="I45"/>
  <c r="O23" i="3"/>
  <c r="P23"/>
  <c r="P45" i="5" l="1"/>
  <c r="U45"/>
  <c r="H45"/>
  <c r="K45"/>
  <c r="J45"/>
  <c r="B46"/>
  <c r="O45"/>
  <c r="N45"/>
  <c r="C46"/>
  <c r="B47"/>
  <c r="U23" i="3"/>
  <c r="S23"/>
  <c r="L23"/>
  <c r="M12"/>
  <c r="L12"/>
  <c r="H30"/>
  <c r="H12"/>
  <c r="R46" i="5"/>
  <c r="S46"/>
  <c r="R47"/>
  <c r="S47"/>
  <c r="G46"/>
  <c r="E46"/>
  <c r="G47"/>
  <c r="E47"/>
  <c r="F46"/>
  <c r="I46"/>
  <c r="I47"/>
  <c r="P47" l="1"/>
  <c r="U47"/>
  <c r="P46"/>
  <c r="U46"/>
  <c r="H47"/>
  <c r="H46"/>
  <c r="K47"/>
  <c r="K46"/>
  <c r="N46"/>
  <c r="O46"/>
  <c r="J47"/>
  <c r="J46"/>
  <c r="O47"/>
  <c r="N47"/>
  <c r="C47"/>
  <c r="B48"/>
  <c r="M27" i="3"/>
  <c r="M26"/>
  <c r="M25"/>
  <c r="M24"/>
  <c r="M21"/>
  <c r="M20"/>
  <c r="K21"/>
  <c r="K24"/>
  <c r="K25"/>
  <c r="K26"/>
  <c r="K27"/>
  <c r="K20"/>
  <c r="J21"/>
  <c r="J24"/>
  <c r="J7" s="1"/>
  <c r="J25"/>
  <c r="J8" s="1"/>
  <c r="J26"/>
  <c r="J9" s="1"/>
  <c r="J27"/>
  <c r="J20"/>
  <c r="J30" s="1"/>
  <c r="R48" i="5"/>
  <c r="S48"/>
  <c r="G48"/>
  <c r="E48"/>
  <c r="F47"/>
  <c r="I48"/>
  <c r="U7" i="3"/>
  <c r="Q7"/>
  <c r="T7"/>
  <c r="P7"/>
  <c r="Q9"/>
  <c r="O21"/>
  <c r="O27"/>
  <c r="P20"/>
  <c r="P8"/>
  <c r="P9"/>
  <c r="Q8"/>
  <c r="P21"/>
  <c r="P25"/>
  <c r="P27"/>
  <c r="P24"/>
  <c r="P26"/>
  <c r="O20"/>
  <c r="O25"/>
  <c r="O24"/>
  <c r="O26"/>
  <c r="P48" i="5" l="1"/>
  <c r="U48"/>
  <c r="H48"/>
  <c r="K48"/>
  <c r="J48"/>
  <c r="O48"/>
  <c r="N48"/>
  <c r="B49"/>
  <c r="C48"/>
  <c r="S26" i="3"/>
  <c r="S24"/>
  <c r="S25"/>
  <c r="U26"/>
  <c r="U24"/>
  <c r="U27"/>
  <c r="U25"/>
  <c r="U21"/>
  <c r="S27"/>
  <c r="S20"/>
  <c r="U20"/>
  <c r="S21"/>
  <c r="N25"/>
  <c r="N23"/>
  <c r="L26"/>
  <c r="L24"/>
  <c r="L27"/>
  <c r="L25"/>
  <c r="P30"/>
  <c r="J6"/>
  <c r="K30"/>
  <c r="N27"/>
  <c r="O30"/>
  <c r="R49" i="5"/>
  <c r="S49"/>
  <c r="G49"/>
  <c r="E49"/>
  <c r="F48"/>
  <c r="I49"/>
  <c r="U6" i="3"/>
  <c r="T6"/>
  <c r="U8"/>
  <c r="T8"/>
  <c r="U9"/>
  <c r="T9"/>
  <c r="P6"/>
  <c r="Q6"/>
  <c r="P49" i="5" l="1"/>
  <c r="U49"/>
  <c r="H49"/>
  <c r="K49"/>
  <c r="J49"/>
  <c r="O49"/>
  <c r="N49"/>
  <c r="C49"/>
  <c r="B50"/>
  <c r="S30" i="3"/>
  <c r="U12"/>
  <c r="Q12"/>
  <c r="P12"/>
  <c r="R50" i="5"/>
  <c r="S50"/>
  <c r="G50"/>
  <c r="E50"/>
  <c r="F49"/>
  <c r="I50"/>
  <c r="P50" l="1"/>
  <c r="U50"/>
  <c r="H50"/>
  <c r="K50"/>
  <c r="J50"/>
  <c r="O50"/>
  <c r="N50"/>
  <c r="B51"/>
  <c r="C50"/>
  <c r="R12" i="3"/>
  <c r="S12"/>
  <c r="T12"/>
  <c r="R51" i="5"/>
  <c r="S51"/>
  <c r="G51"/>
  <c r="E51"/>
  <c r="F50"/>
  <c r="I51"/>
  <c r="P51" l="1"/>
  <c r="U51"/>
  <c r="H51"/>
  <c r="K51"/>
  <c r="J51"/>
  <c r="O51"/>
  <c r="N51"/>
  <c r="B52"/>
  <c r="C51"/>
  <c r="R52"/>
  <c r="S52"/>
  <c r="G52"/>
  <c r="E52"/>
  <c r="F51"/>
  <c r="I52"/>
  <c r="P52" l="1"/>
  <c r="U52"/>
  <c r="H52"/>
  <c r="K52"/>
  <c r="J52"/>
  <c r="O52"/>
  <c r="N52"/>
  <c r="B53"/>
  <c r="C52"/>
  <c r="R53"/>
  <c r="S53"/>
  <c r="G53"/>
  <c r="E53"/>
  <c r="F52"/>
  <c r="I53"/>
  <c r="P53" l="1"/>
  <c r="U53"/>
  <c r="H53"/>
  <c r="K53"/>
  <c r="J53"/>
  <c r="O53"/>
  <c r="N53"/>
  <c r="C53"/>
  <c r="B54"/>
  <c r="R54"/>
  <c r="S54"/>
  <c r="F53"/>
  <c r="G54"/>
  <c r="E54"/>
  <c r="I54"/>
  <c r="P54" l="1"/>
  <c r="U54"/>
  <c r="H54"/>
  <c r="K54"/>
  <c r="J54"/>
  <c r="O54"/>
  <c r="N54"/>
  <c r="C54"/>
  <c r="B55"/>
  <c r="R55"/>
  <c r="S55"/>
  <c r="F54"/>
  <c r="G55"/>
  <c r="E55"/>
  <c r="I55"/>
  <c r="P55" l="1"/>
  <c r="U55"/>
  <c r="H55"/>
  <c r="K55"/>
  <c r="J55"/>
  <c r="O55"/>
  <c r="N55"/>
  <c r="B56"/>
  <c r="C55"/>
  <c r="R56"/>
  <c r="S56"/>
  <c r="G56"/>
  <c r="E56"/>
  <c r="F55"/>
  <c r="I56"/>
  <c r="U56" l="1"/>
  <c r="P56"/>
  <c r="H56"/>
  <c r="K56"/>
  <c r="J56"/>
  <c r="O56"/>
  <c r="N56"/>
  <c r="C56"/>
  <c r="B57"/>
  <c r="R57"/>
  <c r="S57"/>
  <c r="F56"/>
  <c r="G57"/>
  <c r="E57"/>
  <c r="I57"/>
  <c r="P57" l="1"/>
  <c r="U57"/>
  <c r="H57"/>
  <c r="K57"/>
  <c r="J57"/>
  <c r="O57"/>
  <c r="N57"/>
  <c r="C57"/>
  <c r="B58"/>
  <c r="R58"/>
  <c r="S58"/>
  <c r="F57"/>
  <c r="G58"/>
  <c r="E58"/>
  <c r="I58"/>
  <c r="P58" l="1"/>
  <c r="U58"/>
  <c r="H58"/>
  <c r="K58"/>
  <c r="J58"/>
  <c r="O58"/>
  <c r="N58"/>
  <c r="B59"/>
  <c r="C58"/>
  <c r="R59"/>
  <c r="S59"/>
  <c r="G59"/>
  <c r="E59"/>
  <c r="F58"/>
  <c r="I59"/>
  <c r="P59" l="1"/>
  <c r="U59"/>
  <c r="H59"/>
  <c r="K59"/>
  <c r="J59"/>
  <c r="O59"/>
  <c r="N59"/>
  <c r="C59"/>
  <c r="B60"/>
  <c r="R60"/>
  <c r="S60"/>
  <c r="F59"/>
  <c r="I60"/>
  <c r="G60"/>
  <c r="E60"/>
  <c r="P60" l="1"/>
  <c r="U60"/>
  <c r="H60"/>
  <c r="K60"/>
  <c r="J60"/>
  <c r="O60"/>
  <c r="N60"/>
  <c r="B61"/>
  <c r="C60"/>
  <c r="R61"/>
  <c r="S61"/>
  <c r="F60"/>
  <c r="I61"/>
  <c r="G61"/>
  <c r="E61"/>
  <c r="P61" l="1"/>
  <c r="U61"/>
  <c r="H61"/>
  <c r="K61"/>
  <c r="J61"/>
  <c r="O61"/>
  <c r="N61"/>
  <c r="C61"/>
  <c r="B62"/>
  <c r="R62"/>
  <c r="S62"/>
  <c r="F61"/>
  <c r="I62"/>
  <c r="G62"/>
  <c r="E62"/>
  <c r="U62" l="1"/>
  <c r="P62"/>
  <c r="H62"/>
  <c r="K62"/>
  <c r="J62"/>
  <c r="O62"/>
  <c r="N62"/>
  <c r="B63"/>
  <c r="C62"/>
  <c r="R63"/>
  <c r="S63"/>
  <c r="F62"/>
  <c r="I63"/>
  <c r="G63"/>
  <c r="E63"/>
  <c r="P63" l="1"/>
  <c r="U63"/>
  <c r="H63"/>
  <c r="K63"/>
  <c r="J63"/>
  <c r="O63"/>
  <c r="N63"/>
  <c r="C63"/>
  <c r="F63"/>
</calcChain>
</file>

<file path=xl/sharedStrings.xml><?xml version="1.0" encoding="utf-8"?>
<sst xmlns="http://schemas.openxmlformats.org/spreadsheetml/2006/main" count="111" uniqueCount="53">
  <si>
    <t>Category</t>
  </si>
  <si>
    <t>Type</t>
  </si>
  <si>
    <t>Qty</t>
  </si>
  <si>
    <t>Strike</t>
  </si>
  <si>
    <t>Expiry</t>
  </si>
  <si>
    <t>Vol</t>
  </si>
  <si>
    <t xml:space="preserve">Hedging </t>
  </si>
  <si>
    <t>Position</t>
  </si>
  <si>
    <t>Residual</t>
  </si>
  <si>
    <t>Bid</t>
  </si>
  <si>
    <t>Ask</t>
  </si>
  <si>
    <t>Vanilla</t>
  </si>
  <si>
    <t>Call</t>
  </si>
  <si>
    <t>Vol-</t>
  </si>
  <si>
    <t>Vol+</t>
  </si>
  <si>
    <t>H1:1</t>
  </si>
  <si>
    <t>H2:1</t>
  </si>
  <si>
    <t>H1:2</t>
  </si>
  <si>
    <t>#</t>
  </si>
  <si>
    <t>H2:2</t>
  </si>
  <si>
    <t>StatIc Hedges</t>
  </si>
  <si>
    <t>Binary</t>
  </si>
  <si>
    <t>Int</t>
  </si>
  <si>
    <t>H3:1</t>
  </si>
  <si>
    <t>H3:2</t>
  </si>
  <si>
    <t>Total</t>
  </si>
  <si>
    <t>Asset Step</t>
  </si>
  <si>
    <t>Spot Price</t>
  </si>
  <si>
    <t>Int Rate</t>
  </si>
  <si>
    <t>Div</t>
  </si>
  <si>
    <t>H4:1</t>
  </si>
  <si>
    <t>H4:2</t>
  </si>
  <si>
    <t>Expiry(yrs)</t>
  </si>
  <si>
    <t xml:space="preserve">        Static Hedge</t>
  </si>
  <si>
    <t xml:space="preserve">           Optimal</t>
  </si>
  <si>
    <t xml:space="preserve">Static Portfolio - OTC Options </t>
  </si>
  <si>
    <t>Long</t>
  </si>
  <si>
    <t>Short</t>
  </si>
  <si>
    <t xml:space="preserve">             No Hedge</t>
  </si>
  <si>
    <t>Input</t>
  </si>
  <si>
    <t>Data</t>
  </si>
  <si>
    <t xml:space="preserve">     Optimal Hedge Ratio</t>
  </si>
  <si>
    <t>Payoff</t>
  </si>
  <si>
    <t>Stock</t>
  </si>
  <si>
    <t>Long Call (K= 90)</t>
  </si>
  <si>
    <t>Short Call (K= 110)</t>
  </si>
  <si>
    <t>Short Binary Call (k=100)</t>
  </si>
  <si>
    <t>Payout</t>
  </si>
  <si>
    <t>Short Call (K= 100)</t>
  </si>
  <si>
    <t>Long Call (K= 110)</t>
  </si>
  <si>
    <t>Cost</t>
  </si>
  <si>
    <t>Profile</t>
  </si>
  <si>
    <t>PortValue</t>
  </si>
</sst>
</file>

<file path=xl/styles.xml><?xml version="1.0" encoding="utf-8"?>
<styleSheet xmlns="http://schemas.openxmlformats.org/spreadsheetml/2006/main">
  <numFmts count="3">
    <numFmt numFmtId="164" formatCode="0.0000"/>
    <numFmt numFmtId="165" formatCode="0.000"/>
    <numFmt numFmtId="166" formatCode="0.0"/>
  </numFmts>
  <fonts count="5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1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1" fillId="2" borderId="0" xfId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3" fillId="0" borderId="2" xfId="0" applyFont="1" applyBorder="1"/>
    <xf numFmtId="0" fontId="1" fillId="2" borderId="4" xfId="1" applyBorder="1"/>
    <xf numFmtId="0" fontId="1" fillId="2" borderId="0" xfId="1" applyAlignment="1">
      <alignment horizontal="left"/>
    </xf>
    <xf numFmtId="0" fontId="1" fillId="2" borderId="7" xfId="1" applyBorder="1"/>
    <xf numFmtId="0" fontId="0" fillId="0" borderId="7" xfId="0" applyBorder="1"/>
    <xf numFmtId="164" fontId="0" fillId="0" borderId="7" xfId="0" applyNumberFormat="1" applyBorder="1"/>
    <xf numFmtId="0" fontId="0" fillId="0" borderId="0" xfId="0" applyBorder="1"/>
    <xf numFmtId="0" fontId="0" fillId="0" borderId="9" xfId="0" applyBorder="1"/>
    <xf numFmtId="0" fontId="1" fillId="2" borderId="1" xfId="1" applyBorder="1" applyAlignment="1">
      <alignment horizontal="center" vertical="center"/>
    </xf>
    <xf numFmtId="0" fontId="1" fillId="2" borderId="2" xfId="1" applyBorder="1" applyAlignment="1">
      <alignment vertical="center"/>
    </xf>
    <xf numFmtId="0" fontId="1" fillId="2" borderId="3" xfId="1" applyBorder="1" applyAlignment="1">
      <alignment vertical="center"/>
    </xf>
    <xf numFmtId="0" fontId="1" fillId="2" borderId="4" xfId="1" applyBorder="1" applyAlignment="1">
      <alignment vertical="center"/>
    </xf>
    <xf numFmtId="0" fontId="1" fillId="2" borderId="5" xfId="1" applyBorder="1" applyAlignment="1">
      <alignment vertical="center"/>
    </xf>
    <xf numFmtId="0" fontId="1" fillId="2" borderId="5" xfId="1" applyBorder="1"/>
    <xf numFmtId="0" fontId="1" fillId="2" borderId="6" xfId="1" applyBorder="1"/>
    <xf numFmtId="0" fontId="1" fillId="2" borderId="1" xfId="1" applyBorder="1" applyAlignment="1">
      <alignment vertical="center"/>
    </xf>
    <xf numFmtId="0" fontId="1" fillId="2" borderId="6" xfId="1" applyBorder="1" applyAlignment="1">
      <alignment vertical="center"/>
    </xf>
    <xf numFmtId="0" fontId="1" fillId="2" borderId="10" xfId="1" applyBorder="1" applyAlignment="1">
      <alignment vertical="center"/>
    </xf>
    <xf numFmtId="0" fontId="1" fillId="2" borderId="11" xfId="1" applyBorder="1" applyAlignment="1">
      <alignment vertical="center"/>
    </xf>
    <xf numFmtId="0" fontId="1" fillId="2" borderId="3" xfId="1" applyBorder="1" applyAlignment="1">
      <alignment horizontal="center" vertical="center"/>
    </xf>
    <xf numFmtId="0" fontId="1" fillId="2" borderId="11" xfId="1" applyBorder="1" applyAlignment="1">
      <alignment horizontal="center" vertical="center"/>
    </xf>
    <xf numFmtId="0" fontId="2" fillId="0" borderId="1" xfId="0" applyFont="1" applyBorder="1"/>
    <xf numFmtId="0" fontId="2" fillId="0" borderId="3" xfId="0" applyFont="1" applyBorder="1"/>
    <xf numFmtId="0" fontId="1" fillId="2" borderId="8" xfId="1" applyBorder="1"/>
    <xf numFmtId="10" fontId="0" fillId="0" borderId="9" xfId="0" applyNumberFormat="1" applyBorder="1"/>
    <xf numFmtId="0" fontId="1" fillId="2" borderId="11" xfId="1" applyBorder="1" applyAlignment="1">
      <alignment horizontal="center"/>
    </xf>
    <xf numFmtId="0" fontId="3" fillId="0" borderId="2" xfId="0" applyFont="1" applyBorder="1" applyAlignment="1">
      <alignment horizontal="left" vertical="top"/>
    </xf>
    <xf numFmtId="0" fontId="1" fillId="2" borderId="10" xfId="1" applyBorder="1" applyAlignment="1">
      <alignment horizontal="center" vertical="center"/>
    </xf>
    <xf numFmtId="164" fontId="1" fillId="2" borderId="2" xfId="1" applyNumberFormat="1" applyBorder="1" applyAlignment="1">
      <alignment vertical="center"/>
    </xf>
    <xf numFmtId="164" fontId="1" fillId="2" borderId="3" xfId="1" applyNumberFormat="1" applyBorder="1" applyAlignment="1">
      <alignment vertical="center"/>
    </xf>
    <xf numFmtId="164" fontId="1" fillId="2" borderId="5" xfId="1" applyNumberFormat="1" applyBorder="1" applyAlignment="1">
      <alignment vertical="center"/>
    </xf>
    <xf numFmtId="164" fontId="1" fillId="2" borderId="6" xfId="1" applyNumberFormat="1" applyBorder="1" applyAlignment="1">
      <alignment vertical="center"/>
    </xf>
    <xf numFmtId="0" fontId="1" fillId="2" borderId="1" xfId="1" applyBorder="1" applyAlignment="1">
      <alignment horizontal="left" vertical="center"/>
    </xf>
    <xf numFmtId="0" fontId="1" fillId="2" borderId="2" xfId="1" applyBorder="1" applyAlignment="1">
      <alignment horizontal="left" vertical="center"/>
    </xf>
    <xf numFmtId="0" fontId="1" fillId="2" borderId="3" xfId="1" applyBorder="1" applyAlignment="1">
      <alignment horizontal="left" vertical="top"/>
    </xf>
    <xf numFmtId="0" fontId="1" fillId="2" borderId="4" xfId="1" applyBorder="1" applyAlignment="1">
      <alignment horizontal="left"/>
    </xf>
    <xf numFmtId="2" fontId="0" fillId="0" borderId="0" xfId="0" applyNumberFormat="1"/>
    <xf numFmtId="0" fontId="0" fillId="3" borderId="0" xfId="0" applyFill="1"/>
    <xf numFmtId="164" fontId="0" fillId="3" borderId="0" xfId="0" applyNumberFormat="1" applyFill="1"/>
    <xf numFmtId="164" fontId="1" fillId="2" borderId="5" xfId="1" applyNumberFormat="1" applyBorder="1"/>
    <xf numFmtId="0" fontId="4" fillId="2" borderId="1" xfId="1" applyFont="1" applyBorder="1" applyAlignment="1">
      <alignment horizontal="left"/>
    </xf>
    <xf numFmtId="0" fontId="1" fillId="2" borderId="2" xfId="1" applyBorder="1"/>
    <xf numFmtId="164" fontId="1" fillId="2" borderId="2" xfId="1" applyNumberFormat="1" applyBorder="1"/>
    <xf numFmtId="0" fontId="1" fillId="2" borderId="3" xfId="1" applyBorder="1"/>
    <xf numFmtId="11" fontId="1" fillId="2" borderId="6" xfId="1" applyNumberFormat="1" applyBorder="1"/>
    <xf numFmtId="1" fontId="0" fillId="0" borderId="0" xfId="0" applyNumberFormat="1"/>
    <xf numFmtId="2" fontId="0" fillId="0" borderId="0" xfId="0" applyNumberFormat="1" applyAlignment="1">
      <alignment horizontal="left"/>
    </xf>
    <xf numFmtId="165" fontId="0" fillId="0" borderId="0" xfId="0" applyNumberFormat="1"/>
    <xf numFmtId="164" fontId="0" fillId="4" borderId="0" xfId="0" applyNumberFormat="1" applyFill="1"/>
    <xf numFmtId="0" fontId="0" fillId="4" borderId="0" xfId="0" applyFill="1"/>
    <xf numFmtId="166" fontId="0" fillId="0" borderId="0" xfId="0" applyNumberFormat="1"/>
  </cellXfs>
  <cellStyles count="2">
    <cellStyle name="Good" xfId="1" builtinId="26"/>
    <cellStyle name="Normal" xfId="0" builtinId="0"/>
  </cellStyles>
  <dxfs count="0"/>
  <tableStyles count="0" defaultTableStyle="TableStyleMedium9" defaultPivotStyle="PivotStyleLight16"/>
  <colors>
    <mruColors>
      <color rgb="FFAA3F3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style val="26"/>
  <c:chart>
    <c:title>
      <c:tx>
        <c:rich>
          <a:bodyPr/>
          <a:lstStyle/>
          <a:p>
            <a:pPr>
              <a:defRPr sz="1200"/>
            </a:pPr>
            <a:r>
              <a:rPr lang="en-GB" sz="1200"/>
              <a:t>Short</a:t>
            </a:r>
            <a:r>
              <a:rPr lang="en-GB" sz="1200" baseline="0"/>
              <a:t> Vanilla 100 Call OTC (un-hedged)</a:t>
            </a:r>
            <a:endParaRPr lang="en-GB" sz="1200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Charts!$E$42</c:f>
              <c:strCache>
                <c:ptCount val="1"/>
                <c:pt idx="0">
                  <c:v>Long Call (K= 90)</c:v>
                </c:pt>
              </c:strCache>
            </c:strRef>
          </c:tx>
          <c:spPr>
            <a:ln w="28575"/>
          </c:spPr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Charts!$E$43:$E$63</c:f>
              <c:numCache>
                <c:formatCode>0</c:formatCode>
                <c:ptCount val="21"/>
                <c:pt idx="0">
                  <c:v>0</c:v>
                </c:pt>
                <c:pt idx="1">
                  <c:v>2.2031592299095799E-35</c:v>
                </c:pt>
                <c:pt idx="2">
                  <c:v>2.5381229303435355E-17</c:v>
                </c:pt>
                <c:pt idx="3">
                  <c:v>8.8773711260583071E-10</c:v>
                </c:pt>
                <c:pt idx="4">
                  <c:v>9.4295504099498283E-6</c:v>
                </c:pt>
                <c:pt idx="5">
                  <c:v>2.2973735547937371E-3</c:v>
                </c:pt>
                <c:pt idx="6">
                  <c:v>7.1528446263509765E-2</c:v>
                </c:pt>
                <c:pt idx="7">
                  <c:v>0.65610165332679005</c:v>
                </c:pt>
                <c:pt idx="8">
                  <c:v>2.8123854557084256</c:v>
                </c:pt>
                <c:pt idx="9">
                  <c:v>7.4340136794089062</c:v>
                </c:pt>
                <c:pt idx="10">
                  <c:v>14.437116236460666</c:v>
                </c:pt>
                <c:pt idx="11">
                  <c:v>23.050920314565825</c:v>
                </c:pt>
                <c:pt idx="12">
                  <c:v>32.501330819340104</c:v>
                </c:pt>
                <c:pt idx="13">
                  <c:v>42.308605651129518</c:v>
                </c:pt>
                <c:pt idx="14">
                  <c:v>52.247199017601474</c:v>
                </c:pt>
                <c:pt idx="15">
                  <c:v>62.229027104674984</c:v>
                </c:pt>
                <c:pt idx="16">
                  <c:v>72.223944249691186</c:v>
                </c:pt>
                <c:pt idx="17">
                  <c:v>82.222581633806058</c:v>
                </c:pt>
                <c:pt idx="18">
                  <c:v>92.22222765307454</c:v>
                </c:pt>
                <c:pt idx="19">
                  <c:v>102.22213776119246</c:v>
                </c:pt>
                <c:pt idx="20">
                  <c:v>112.22211529054998</c:v>
                </c:pt>
              </c:numCache>
            </c:numRef>
          </c:val>
        </c:ser>
        <c:ser>
          <c:idx val="1"/>
          <c:order val="1"/>
          <c:tx>
            <c:strRef>
              <c:f>Charts!$F$42</c:f>
              <c:strCache>
                <c:ptCount val="1"/>
                <c:pt idx="0">
                  <c:v>Short Call (K= 100)</c:v>
                </c:pt>
              </c:strCache>
            </c:strRef>
          </c:tx>
          <c:spPr>
            <a:ln w="28575">
              <a:solidFill>
                <a:srgbClr val="AA3F3C"/>
              </a:solidFill>
            </a:ln>
          </c:spPr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Charts!$F$43:$F$63</c:f>
              <c:numCache>
                <c:formatCode>0</c:formatCode>
                <c:ptCount val="21"/>
                <c:pt idx="0">
                  <c:v>0</c:v>
                </c:pt>
                <c:pt idx="1">
                  <c:v>-1.1774990414543016E-38</c:v>
                </c:pt>
                <c:pt idx="2">
                  <c:v>-1.3430427956249333E-19</c:v>
                </c:pt>
                <c:pt idx="3">
                  <c:v>-1.7637456967808136E-11</c:v>
                </c:pt>
                <c:pt idx="4">
                  <c:v>-4.697693957266156E-7</c:v>
                </c:pt>
                <c:pt idx="5">
                  <c:v>-2.2844488293326387E-4</c:v>
                </c:pt>
                <c:pt idx="6">
                  <c:v>-1.2194321407665689E-2</c:v>
                </c:pt>
                <c:pt idx="7">
                  <c:v>-0.17122676405909476</c:v>
                </c:pt>
                <c:pt idx="8">
                  <c:v>-1.0255258566401517</c:v>
                </c:pt>
                <c:pt idx="9">
                  <c:v>-3.5076117401138038</c:v>
                </c:pt>
                <c:pt idx="10">
                  <c:v>-8.2606060905109135</c:v>
                </c:pt>
                <c:pt idx="11">
                  <c:v>-15.16716265897082</c:v>
                </c:pt>
                <c:pt idx="12">
                  <c:v>-23.601144109606896</c:v>
                </c:pt>
                <c:pt idx="13">
                  <c:v>-32.904156974349696</c:v>
                </c:pt>
                <c:pt idx="14">
                  <c:v>-42.624937256453116</c:v>
                </c:pt>
                <c:pt idx="15">
                  <c:v>-52.522140044438949</c:v>
                </c:pt>
                <c:pt idx="16">
                  <c:v>-62.486748751836188</c:v>
                </c:pt>
                <c:pt idx="17">
                  <c:v>-72.47519038235302</c:v>
                </c:pt>
                <c:pt idx="18">
                  <c:v>-82.471567753160841</c:v>
                </c:pt>
                <c:pt idx="19">
                  <c:v>-92.470467826943164</c:v>
                </c:pt>
                <c:pt idx="20">
                  <c:v>-102.47014182018781</c:v>
                </c:pt>
              </c:numCache>
            </c:numRef>
          </c:val>
        </c:ser>
        <c:ser>
          <c:idx val="2"/>
          <c:order val="2"/>
          <c:tx>
            <c:strRef>
              <c:f>Charts!$G$42</c:f>
              <c:strCache>
                <c:ptCount val="1"/>
                <c:pt idx="0">
                  <c:v>Long Call (K= 110)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Charts!$G$43:$G$63</c:f>
              <c:numCache>
                <c:formatCode>0</c:formatCode>
                <c:ptCount val="21"/>
                <c:pt idx="0">
                  <c:v>0</c:v>
                </c:pt>
                <c:pt idx="1">
                  <c:v>9.4077014485011247E-42</c:v>
                </c:pt>
                <c:pt idx="2">
                  <c:v>8.6446477646234225E-22</c:v>
                </c:pt>
                <c:pt idx="3">
                  <c:v>3.7842283023669298E-13</c:v>
                </c:pt>
                <c:pt idx="4">
                  <c:v>2.3331511077978978E-8</c:v>
                </c:pt>
                <c:pt idx="5">
                  <c:v>2.1414604806491163E-5</c:v>
                </c:pt>
                <c:pt idx="6">
                  <c:v>1.8869095612895845E-3</c:v>
                </c:pt>
                <c:pt idx="7">
                  <c:v>3.9654653297827018E-2</c:v>
                </c:pt>
                <c:pt idx="8">
                  <c:v>0.32897669466533497</c:v>
                </c:pt>
                <c:pt idx="9">
                  <c:v>1.46094273152764</c:v>
                </c:pt>
                <c:pt idx="10">
                  <c:v>4.2257823929600642</c:v>
                </c:pt>
                <c:pt idx="11">
                  <c:v>9.0860167192775521</c:v>
                </c:pt>
                <c:pt idx="12">
                  <c:v>15.911019731269162</c:v>
                </c:pt>
                <c:pt idx="13">
                  <c:v>24.183601113699144</c:v>
                </c:pt>
                <c:pt idx="14">
                  <c:v>33.340949893449626</c:v>
                </c:pt>
                <c:pt idx="15">
                  <c:v>42.965687822638358</c:v>
                </c:pt>
                <c:pt idx="16">
                  <c:v>52.81061271578605</c:v>
                </c:pt>
                <c:pt idx="17">
                  <c:v>62.750307399639446</c:v>
                </c:pt>
                <c:pt idx="18">
                  <c:v>72.727977836414084</c:v>
                </c:pt>
                <c:pt idx="19">
                  <c:v>82.720028115922972</c:v>
                </c:pt>
                <c:pt idx="20">
                  <c:v>92.717284838230526</c:v>
                </c:pt>
              </c:numCache>
            </c:numRef>
          </c:val>
        </c:ser>
        <c:ser>
          <c:idx val="4"/>
          <c:order val="3"/>
          <c:tx>
            <c:strRef>
              <c:f>Charts!$J$42</c:f>
              <c:strCache>
                <c:ptCount val="1"/>
                <c:pt idx="0">
                  <c:v>Payoff</c:v>
                </c:pt>
              </c:strCache>
            </c:strRef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  <a:prstDash val="lgDash"/>
            </a:ln>
          </c:spPr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Charts!$K$43:$K$63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</c:v>
                </c:pt>
                <c:pt idx="11">
                  <c:v>-10</c:v>
                </c:pt>
                <c:pt idx="12">
                  <c:v>-20</c:v>
                </c:pt>
                <c:pt idx="13">
                  <c:v>-30</c:v>
                </c:pt>
                <c:pt idx="14">
                  <c:v>-40</c:v>
                </c:pt>
                <c:pt idx="15">
                  <c:v>-50</c:v>
                </c:pt>
                <c:pt idx="16">
                  <c:v>-60</c:v>
                </c:pt>
                <c:pt idx="17">
                  <c:v>-70</c:v>
                </c:pt>
                <c:pt idx="18">
                  <c:v>-80</c:v>
                </c:pt>
                <c:pt idx="19">
                  <c:v>-90</c:v>
                </c:pt>
                <c:pt idx="20">
                  <c:v>-100</c:v>
                </c:pt>
              </c:numCache>
            </c:numRef>
          </c:val>
        </c:ser>
        <c:marker val="1"/>
        <c:axId val="156927104"/>
        <c:axId val="156928640"/>
      </c:lineChart>
      <c:catAx>
        <c:axId val="156927104"/>
        <c:scaling>
          <c:orientation val="minMax"/>
        </c:scaling>
        <c:axPos val="b"/>
        <c:numFmt formatCode="0" sourceLinked="1"/>
        <c:majorTickMark val="none"/>
        <c:tickLblPos val="nextTo"/>
        <c:crossAx val="156928640"/>
        <c:crosses val="autoZero"/>
        <c:auto val="1"/>
        <c:lblAlgn val="ctr"/>
        <c:lblOffset val="100"/>
      </c:catAx>
      <c:valAx>
        <c:axId val="156928640"/>
        <c:scaling>
          <c:orientation val="minMax"/>
        </c:scaling>
        <c:axPos val="l"/>
        <c:majorGridlines/>
        <c:numFmt formatCode="0" sourceLinked="1"/>
        <c:majorTickMark val="none"/>
        <c:tickLblPos val="nextTo"/>
        <c:crossAx val="1569271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200"/>
            </a:pPr>
            <a:r>
              <a:rPr lang="en-GB" sz="1200"/>
              <a:t>Short</a:t>
            </a:r>
            <a:r>
              <a:rPr lang="en-GB" sz="1200" baseline="0"/>
              <a:t> Vanilla 100 Call OTC (with long 90 &amp; 110 call hedges)</a:t>
            </a:r>
            <a:endParaRPr lang="en-GB" sz="1200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PortValue</c:v>
          </c:tx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Charts!$I$43:$I$63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3.7851502681931393E-5</c:v>
                </c:pt>
                <c:pt idx="6">
                  <c:v>3.9813302942209436E-3</c:v>
                </c:pt>
                <c:pt idx="7">
                  <c:v>6.7463830872128733E-2</c:v>
                </c:pt>
                <c:pt idx="8">
                  <c:v>0.29510546163870599</c:v>
                </c:pt>
                <c:pt idx="9">
                  <c:v>0.52963840654809591</c:v>
                </c:pt>
                <c:pt idx="10">
                  <c:v>0.60690381164729368</c:v>
                </c:pt>
                <c:pt idx="11">
                  <c:v>0.50064735741067956</c:v>
                </c:pt>
                <c:pt idx="12">
                  <c:v>0.31815464001150401</c:v>
                </c:pt>
                <c:pt idx="13">
                  <c:v>0.14881015412092266</c:v>
                </c:pt>
                <c:pt idx="14">
                  <c:v>5.4843501906557339E-2</c:v>
                </c:pt>
                <c:pt idx="15">
                  <c:v>1.6957141450056234E-2</c:v>
                </c:pt>
                <c:pt idx="16">
                  <c:v>4.733893974516983E-3</c:v>
                </c:pt>
                <c:pt idx="17">
                  <c:v>1.1932722056676578E-3</c:v>
                </c:pt>
                <c:pt idx="18">
                  <c:v>2.8643057197761675E-4</c:v>
                </c:pt>
                <c:pt idx="19">
                  <c:v>5.8011359945853055E-5</c:v>
                </c:pt>
                <c:pt idx="20">
                  <c:v>1.5224997941691689E-5</c:v>
                </c:pt>
              </c:numCache>
            </c:numRef>
          </c:val>
        </c:ser>
        <c:ser>
          <c:idx val="2"/>
          <c:order val="1"/>
          <c:tx>
            <c:strRef>
              <c:f>Charts!$J$42</c:f>
              <c:strCache>
                <c:ptCount val="1"/>
                <c:pt idx="0">
                  <c:v>Payoff</c:v>
                </c:pt>
              </c:strCache>
            </c:strRef>
          </c:tx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Charts!$J$43:$J$63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marker val="1"/>
        <c:axId val="156940928"/>
        <c:axId val="156955008"/>
      </c:lineChart>
      <c:catAx>
        <c:axId val="156940928"/>
        <c:scaling>
          <c:orientation val="minMax"/>
        </c:scaling>
        <c:axPos val="b"/>
        <c:numFmt formatCode="0" sourceLinked="1"/>
        <c:majorTickMark val="none"/>
        <c:tickLblPos val="nextTo"/>
        <c:crossAx val="156955008"/>
        <c:crosses val="autoZero"/>
        <c:auto val="1"/>
        <c:lblAlgn val="ctr"/>
        <c:lblOffset val="0"/>
        <c:tickLblSkip val="10"/>
        <c:tickMarkSkip val="50"/>
      </c:catAx>
      <c:valAx>
        <c:axId val="156955008"/>
        <c:scaling>
          <c:orientation val="minMax"/>
        </c:scaling>
        <c:axPos val="l"/>
        <c:majorGridlines/>
        <c:numFmt formatCode="0" sourceLinked="1"/>
        <c:majorTickMark val="none"/>
        <c:tickLblPos val="nextTo"/>
        <c:crossAx val="156940928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200"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200"/>
            </a:pPr>
            <a:r>
              <a:rPr lang="en-GB" sz="1200"/>
              <a:t>Short</a:t>
            </a:r>
            <a:r>
              <a:rPr lang="en-GB" sz="1200" baseline="0"/>
              <a:t> Binary 100 Call OTC Profile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strRef>
              <c:f>Charts!$R$42</c:f>
              <c:strCache>
                <c:ptCount val="1"/>
                <c:pt idx="0">
                  <c:v>Short Binary Call (k=100)</c:v>
                </c:pt>
              </c:strCache>
            </c:strRef>
          </c:tx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Charts!$R$43:$R$63</c:f>
              <c:numCache>
                <c:formatCode>0.0</c:formatCode>
                <c:ptCount val="21"/>
                <c:pt idx="0">
                  <c:v>0</c:v>
                </c:pt>
                <c:pt idx="1">
                  <c:v>-8.5608751256078942E-39</c:v>
                </c:pt>
                <c:pt idx="2">
                  <c:v>-6.887973881740999E-20</c:v>
                </c:pt>
                <c:pt idx="3">
                  <c:v>-6.8385151149449474E-12</c:v>
                </c:pt>
                <c:pt idx="4">
                  <c:v>-1.4107661247103241E-7</c:v>
                </c:pt>
                <c:pt idx="5">
                  <c:v>-5.3511285618238048E-5</c:v>
                </c:pt>
                <c:pt idx="6">
                  <c:v>-2.2233151050650192E-3</c:v>
                </c:pt>
                <c:pt idx="7">
                  <c:v>-2.4118261941587876E-2</c:v>
                </c:pt>
                <c:pt idx="8">
                  <c:v>-0.1104850177867177</c:v>
                </c:pt>
                <c:pt idx="9">
                  <c:v>-0.2863247920159685</c:v>
                </c:pt>
                <c:pt idx="10">
                  <c:v>-0.50828002605088018</c:v>
                </c:pt>
                <c:pt idx="11">
                  <c:v>-0.70528357838656741</c:v>
                </c:pt>
                <c:pt idx="12">
                  <c:v>-0.83965029490991094</c:v>
                </c:pt>
                <c:pt idx="13">
                  <c:v>-0.91472027978976655</c:v>
                </c:pt>
                <c:pt idx="14">
                  <c:v>-0.95072372436273012</c:v>
                </c:pt>
                <c:pt idx="15">
                  <c:v>-0.96607323711166582</c:v>
                </c:pt>
                <c:pt idx="16">
                  <c:v>-0.9720463302282587</c:v>
                </c:pt>
                <c:pt idx="17">
                  <c:v>-0.97421136701078592</c:v>
                </c:pt>
                <c:pt idx="18">
                  <c:v>-0.97495392352165855</c:v>
                </c:pt>
                <c:pt idx="19">
                  <c:v>-0.97519790442998555</c:v>
                </c:pt>
                <c:pt idx="20">
                  <c:v>-0.97527545623387113</c:v>
                </c:pt>
              </c:numCache>
            </c:numRef>
          </c:val>
        </c:ser>
        <c:ser>
          <c:idx val="0"/>
          <c:order val="1"/>
          <c:tx>
            <c:strRef>
              <c:f>Charts!$U$42</c:f>
              <c:strCache>
                <c:ptCount val="1"/>
                <c:pt idx="0">
                  <c:v>Profile</c:v>
                </c:pt>
              </c:strCache>
            </c:strRef>
          </c:tx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Charts!$U$43:$U$64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val>
        </c:ser>
        <c:marker val="1"/>
        <c:axId val="156966272"/>
        <c:axId val="156968064"/>
      </c:lineChart>
      <c:catAx>
        <c:axId val="156966272"/>
        <c:scaling>
          <c:orientation val="minMax"/>
        </c:scaling>
        <c:axPos val="b"/>
        <c:numFmt formatCode="0" sourceLinked="1"/>
        <c:majorTickMark val="none"/>
        <c:tickLblPos val="nextTo"/>
        <c:crossAx val="156968064"/>
        <c:crosses val="autoZero"/>
        <c:auto val="1"/>
        <c:lblAlgn val="ctr"/>
        <c:lblOffset val="100"/>
      </c:catAx>
      <c:valAx>
        <c:axId val="156968064"/>
        <c:scaling>
          <c:orientation val="minMax"/>
        </c:scaling>
        <c:axPos val="l"/>
        <c:majorGridlines/>
        <c:numFmt formatCode="0.0" sourceLinked="1"/>
        <c:majorTickMark val="none"/>
        <c:tickLblPos val="nextTo"/>
        <c:crossAx val="1569662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200"/>
            </a:pPr>
            <a:r>
              <a:rPr lang="en-GB" sz="1200"/>
              <a:t>Short</a:t>
            </a:r>
            <a:r>
              <a:rPr lang="en-GB" sz="1200" baseline="0"/>
              <a:t> Binary 100 Call OTC (with long 90 &amp; 110 vanilla hedges)</a:t>
            </a:r>
            <a:endParaRPr lang="en-GB" sz="1200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Charts!$T$42</c:f>
              <c:strCache>
                <c:ptCount val="1"/>
                <c:pt idx="0">
                  <c:v>Payoff</c:v>
                </c:pt>
              </c:strCache>
            </c:strRef>
          </c:tx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Charts!$S$43:$S$63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3.7851502681931407E-6</c:v>
                </c:pt>
                <c:pt idx="6">
                  <c:v>2.9165087241135487E-4</c:v>
                </c:pt>
                <c:pt idx="7">
                  <c:v>3.8221840841439645E-3</c:v>
                </c:pt>
                <c:pt idx="8">
                  <c:v>1.6927241642788787E-2</c:v>
                </c:pt>
                <c:pt idx="9">
                  <c:v>4.0854921459499365E-2</c:v>
                </c:pt>
                <c:pt idx="10">
                  <c:v>3.3331542855587863E-2</c:v>
                </c:pt>
                <c:pt idx="11">
                  <c:v>5.8756652878963825E-2</c:v>
                </c:pt>
                <c:pt idx="12">
                  <c:v>5.3893295629688302E-2</c:v>
                </c:pt>
                <c:pt idx="13">
                  <c:v>3.2470412812020316E-2</c:v>
                </c:pt>
                <c:pt idx="14">
                  <c:v>2.3754423584394831E-2</c:v>
                </c:pt>
                <c:pt idx="15">
                  <c:v>1.0901560000676444E-2</c:v>
                </c:pt>
                <c:pt idx="16">
                  <c:v>5.6472807862823198E-3</c:v>
                </c:pt>
                <c:pt idx="17">
                  <c:v>3.347560636480939E-3</c:v>
                </c:pt>
                <c:pt idx="18">
                  <c:v>2.0964230342540879E-3</c:v>
                </c:pt>
                <c:pt idx="19">
                  <c:v>7.4740530540514814E-4</c:v>
                </c:pt>
                <c:pt idx="20">
                  <c:v>2.8329279066559434E-4</c:v>
                </c:pt>
              </c:numCache>
            </c:numRef>
          </c:val>
        </c:ser>
        <c:ser>
          <c:idx val="1"/>
          <c:order val="1"/>
          <c:tx>
            <c:strRef>
              <c:f>Charts!$P$42</c:f>
              <c:strCache>
                <c:ptCount val="1"/>
                <c:pt idx="0">
                  <c:v>PortValue</c:v>
                </c:pt>
              </c:strCache>
            </c:strRef>
          </c:tx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Charts!$P$43:$P$63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marker val="1"/>
        <c:axId val="156997120"/>
        <c:axId val="156998656"/>
      </c:lineChart>
      <c:catAx>
        <c:axId val="156997120"/>
        <c:scaling>
          <c:orientation val="minMax"/>
        </c:scaling>
        <c:axPos val="b"/>
        <c:numFmt formatCode="0" sourceLinked="1"/>
        <c:majorTickMark val="none"/>
        <c:tickLblPos val="nextTo"/>
        <c:crossAx val="156998656"/>
        <c:crosses val="autoZero"/>
        <c:auto val="1"/>
        <c:lblAlgn val="ctr"/>
        <c:lblOffset val="100"/>
      </c:catAx>
      <c:valAx>
        <c:axId val="156998656"/>
        <c:scaling>
          <c:orientation val="minMax"/>
        </c:scaling>
        <c:axPos val="l"/>
        <c:majorGridlines/>
        <c:numFmt formatCode="0.0" sourceLinked="1"/>
        <c:majorTickMark val="none"/>
        <c:tickLblPos val="nextTo"/>
        <c:crossAx val="1569971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200"/>
            </a:pPr>
            <a:r>
              <a:rPr lang="en-GB" sz="1200"/>
              <a:t>Payoff</a:t>
            </a:r>
            <a:r>
              <a:rPr lang="en-GB" sz="1200" baseline="0"/>
              <a:t> profile (with long 90 &amp; 110 call)</a:t>
            </a:r>
          </a:p>
          <a:p>
            <a:pPr>
              <a:defRPr sz="1200"/>
            </a:pPr>
            <a:endParaRPr lang="en-GB" sz="1200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Charts!$F$42</c:f>
              <c:strCache>
                <c:ptCount val="1"/>
                <c:pt idx="0">
                  <c:v>Short Call (K= 100)</c:v>
                </c:pt>
              </c:strCache>
            </c:strRef>
          </c:tx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Charts!$F$43:$F$63</c:f>
              <c:numCache>
                <c:formatCode>0</c:formatCode>
                <c:ptCount val="21"/>
                <c:pt idx="0">
                  <c:v>0</c:v>
                </c:pt>
                <c:pt idx="1">
                  <c:v>-1.1774990414543016E-38</c:v>
                </c:pt>
                <c:pt idx="2">
                  <c:v>-1.3430427956249333E-19</c:v>
                </c:pt>
                <c:pt idx="3">
                  <c:v>-1.7637456967808136E-11</c:v>
                </c:pt>
                <c:pt idx="4">
                  <c:v>-4.697693957266156E-7</c:v>
                </c:pt>
                <c:pt idx="5">
                  <c:v>-2.2844488293326387E-4</c:v>
                </c:pt>
                <c:pt idx="6">
                  <c:v>-1.2194321407665689E-2</c:v>
                </c:pt>
                <c:pt idx="7">
                  <c:v>-0.17122676405909476</c:v>
                </c:pt>
                <c:pt idx="8">
                  <c:v>-1.0255258566401517</c:v>
                </c:pt>
                <c:pt idx="9">
                  <c:v>-3.5076117401138038</c:v>
                </c:pt>
                <c:pt idx="10">
                  <c:v>-8.2606060905109135</c:v>
                </c:pt>
                <c:pt idx="11">
                  <c:v>-15.16716265897082</c:v>
                </c:pt>
                <c:pt idx="12">
                  <c:v>-23.601144109606896</c:v>
                </c:pt>
                <c:pt idx="13">
                  <c:v>-32.904156974349696</c:v>
                </c:pt>
                <c:pt idx="14">
                  <c:v>-42.624937256453116</c:v>
                </c:pt>
                <c:pt idx="15">
                  <c:v>-52.522140044438949</c:v>
                </c:pt>
                <c:pt idx="16">
                  <c:v>-62.486748751836188</c:v>
                </c:pt>
                <c:pt idx="17">
                  <c:v>-72.47519038235302</c:v>
                </c:pt>
                <c:pt idx="18">
                  <c:v>-82.471567753160841</c:v>
                </c:pt>
                <c:pt idx="19">
                  <c:v>-92.470467826943164</c:v>
                </c:pt>
                <c:pt idx="20">
                  <c:v>-102.47014182018781</c:v>
                </c:pt>
              </c:numCache>
            </c:numRef>
          </c:val>
        </c:ser>
        <c:ser>
          <c:idx val="3"/>
          <c:order val="1"/>
          <c:tx>
            <c:strRef>
              <c:f>Charts!$J$42</c:f>
              <c:strCache>
                <c:ptCount val="1"/>
                <c:pt idx="0">
                  <c:v>Payoff</c:v>
                </c:pt>
              </c:strCache>
            </c:strRef>
          </c:tx>
          <c:spPr>
            <a:ln>
              <a:solidFill>
                <a:srgbClr val="FF0000"/>
              </a:solidFill>
              <a:prstDash val="dashDot"/>
            </a:ln>
          </c:spPr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Charts!$H$43:$H$63</c:f>
              <c:numCache>
                <c:formatCode>0</c:formatCode>
                <c:ptCount val="21"/>
                <c:pt idx="0">
                  <c:v>0</c:v>
                </c:pt>
                <c:pt idx="1">
                  <c:v>-1.1015800853398624E-35</c:v>
                </c:pt>
                <c:pt idx="2">
                  <c:v>-1.2691046884105908E-17</c:v>
                </c:pt>
                <c:pt idx="3">
                  <c:v>-4.4405776771803369E-10</c:v>
                </c:pt>
                <c:pt idx="4">
                  <c:v>-4.7264409605139039E-6</c:v>
                </c:pt>
                <c:pt idx="5">
                  <c:v>-1.1593940798001142E-3</c:v>
                </c:pt>
                <c:pt idx="6">
                  <c:v>-3.6707677912399678E-2</c:v>
                </c:pt>
                <c:pt idx="7">
                  <c:v>-0.34787815331230854</c:v>
                </c:pt>
                <c:pt idx="8">
                  <c:v>-1.5706810751868803</c:v>
                </c:pt>
                <c:pt idx="9">
                  <c:v>-4.4474782054682729</c:v>
                </c:pt>
                <c:pt idx="10">
                  <c:v>-9.3314493147103654</c:v>
                </c:pt>
                <c:pt idx="11">
                  <c:v>-16.068468516921691</c:v>
                </c:pt>
                <c:pt idx="12">
                  <c:v>-24.206175275304634</c:v>
                </c:pt>
                <c:pt idx="13">
                  <c:v>-33.246103382414333</c:v>
                </c:pt>
                <c:pt idx="14">
                  <c:v>-42.794074455525546</c:v>
                </c:pt>
                <c:pt idx="15">
                  <c:v>-52.597357463656671</c:v>
                </c:pt>
                <c:pt idx="16">
                  <c:v>-62.517278482738618</c:v>
                </c:pt>
                <c:pt idx="17">
                  <c:v>-72.486444516722756</c:v>
                </c:pt>
                <c:pt idx="18">
                  <c:v>-82.475102744744305</c:v>
                </c:pt>
                <c:pt idx="19">
                  <c:v>-92.471082938557714</c:v>
                </c:pt>
                <c:pt idx="20">
                  <c:v>-102.46970006439025</c:v>
                </c:pt>
              </c:numCache>
            </c:numRef>
          </c:val>
        </c:ser>
        <c:marker val="1"/>
        <c:axId val="157023616"/>
        <c:axId val="157037696"/>
      </c:lineChart>
      <c:catAx>
        <c:axId val="157023616"/>
        <c:scaling>
          <c:orientation val="minMax"/>
        </c:scaling>
        <c:axPos val="b"/>
        <c:numFmt formatCode="0" sourceLinked="1"/>
        <c:majorTickMark val="none"/>
        <c:tickLblPos val="nextTo"/>
        <c:crossAx val="157037696"/>
        <c:crosses val="autoZero"/>
        <c:auto val="1"/>
        <c:lblAlgn val="ctr"/>
        <c:lblOffset val="100"/>
      </c:catAx>
      <c:valAx>
        <c:axId val="157037696"/>
        <c:scaling>
          <c:orientation val="minMax"/>
        </c:scaling>
        <c:axPos val="l"/>
        <c:majorGridlines/>
        <c:numFmt formatCode="0" sourceLinked="1"/>
        <c:majorTickMark val="none"/>
        <c:tickLblPos val="nextTo"/>
        <c:crossAx val="1570236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1200"/>
            </a:pPr>
            <a:r>
              <a:rPr lang="en-GB" sz="1200"/>
              <a:t>Short</a:t>
            </a:r>
            <a:r>
              <a:rPr lang="en-GB" sz="1200" baseline="0"/>
              <a:t> Binary 100 Call OTC (with no hedge)</a:t>
            </a:r>
            <a:endParaRPr lang="en-GB" sz="1200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Charts!$Q$42</c:f>
              <c:strCache>
                <c:ptCount val="1"/>
                <c:pt idx="0">
                  <c:v>Payout</c:v>
                </c:pt>
              </c:strCache>
            </c:strRef>
          </c:tx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Charts!$Q$43:$Q$63</c:f>
              <c:numCache>
                <c:formatCode>0.0</c:formatCode>
                <c:ptCount val="21"/>
                <c:pt idx="0">
                  <c:v>0</c:v>
                </c:pt>
                <c:pt idx="1">
                  <c:v>-1.1015791445697177E-36</c:v>
                </c:pt>
                <c:pt idx="2">
                  <c:v>-1.2690182419329448E-18</c:v>
                </c:pt>
                <c:pt idx="3">
                  <c:v>-4.43679344887797E-11</c:v>
                </c:pt>
                <c:pt idx="4">
                  <c:v>-4.703109449435925E-7</c:v>
                </c:pt>
                <c:pt idx="5">
                  <c:v>-1.137979474993623E-4</c:v>
                </c:pt>
                <c:pt idx="6">
                  <c:v>-3.4820768351110092E-3</c:v>
                </c:pt>
                <c:pt idx="7">
                  <c:v>-3.0822350001448152E-2</c:v>
                </c:pt>
                <c:pt idx="8">
                  <c:v>-0.12417043805215452</c:v>
                </c:pt>
                <c:pt idx="9">
                  <c:v>-0.2986535473940633</c:v>
                </c:pt>
                <c:pt idx="10">
                  <c:v>-0.51056669217503015</c:v>
                </c:pt>
                <c:pt idx="11">
                  <c:v>-0.6982451797644138</c:v>
                </c:pt>
                <c:pt idx="12">
                  <c:v>-0.82951555440354718</c:v>
                </c:pt>
                <c:pt idx="13">
                  <c:v>-0.90625022687151868</c:v>
                </c:pt>
                <c:pt idx="14">
                  <c:v>-0.94531245620759252</c:v>
                </c:pt>
                <c:pt idx="15">
                  <c:v>-0.96316696410183145</c:v>
                </c:pt>
                <c:pt idx="16">
                  <c:v>-0.97066657669525691</c:v>
                </c:pt>
                <c:pt idx="17">
                  <c:v>-0.97361371170833078</c:v>
                </c:pt>
                <c:pt idx="18">
                  <c:v>-0.97471249083302336</c:v>
                </c:pt>
                <c:pt idx="19">
                  <c:v>-0.9751054822634746</c:v>
                </c:pt>
                <c:pt idx="20">
                  <c:v>-0.97524152261597319</c:v>
                </c:pt>
              </c:numCache>
            </c:numRef>
          </c:val>
        </c:ser>
        <c:ser>
          <c:idx val="1"/>
          <c:order val="1"/>
          <c:tx>
            <c:strRef>
              <c:f>Charts!$R$42</c:f>
              <c:strCache>
                <c:ptCount val="1"/>
                <c:pt idx="0">
                  <c:v>Short Binary Call (k=100)</c:v>
                </c:pt>
              </c:strCache>
            </c:strRef>
          </c:tx>
          <c:marker>
            <c:symbol val="none"/>
          </c:marker>
          <c:cat>
            <c:numRef>
              <c:f>Charts!$B$43:$B$63</c:f>
              <c:numCache>
                <c:formatCode>0</c:formatCode>
                <c:ptCount val="21"/>
                <c:pt idx="0">
                  <c:v>1E-3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cat>
          <c:val>
            <c:numRef>
              <c:f>Charts!$R$43:$R$63</c:f>
              <c:numCache>
                <c:formatCode>0.0</c:formatCode>
                <c:ptCount val="21"/>
                <c:pt idx="0">
                  <c:v>0</c:v>
                </c:pt>
                <c:pt idx="1">
                  <c:v>-8.5608751256078942E-39</c:v>
                </c:pt>
                <c:pt idx="2">
                  <c:v>-6.887973881740999E-20</c:v>
                </c:pt>
                <c:pt idx="3">
                  <c:v>-6.8385151149449474E-12</c:v>
                </c:pt>
                <c:pt idx="4">
                  <c:v>-1.4107661247103241E-7</c:v>
                </c:pt>
                <c:pt idx="5">
                  <c:v>-5.3511285618238048E-5</c:v>
                </c:pt>
                <c:pt idx="6">
                  <c:v>-2.2233151050650192E-3</c:v>
                </c:pt>
                <c:pt idx="7">
                  <c:v>-2.4118261941587876E-2</c:v>
                </c:pt>
                <c:pt idx="8">
                  <c:v>-0.1104850177867177</c:v>
                </c:pt>
                <c:pt idx="9">
                  <c:v>-0.2863247920159685</c:v>
                </c:pt>
                <c:pt idx="10">
                  <c:v>-0.50828002605088018</c:v>
                </c:pt>
                <c:pt idx="11">
                  <c:v>-0.70528357838656741</c:v>
                </c:pt>
                <c:pt idx="12">
                  <c:v>-0.83965029490991094</c:v>
                </c:pt>
                <c:pt idx="13">
                  <c:v>-0.91472027978976655</c:v>
                </c:pt>
                <c:pt idx="14">
                  <c:v>-0.95072372436273012</c:v>
                </c:pt>
                <c:pt idx="15">
                  <c:v>-0.96607323711166582</c:v>
                </c:pt>
                <c:pt idx="16">
                  <c:v>-0.9720463302282587</c:v>
                </c:pt>
                <c:pt idx="17">
                  <c:v>-0.97421136701078592</c:v>
                </c:pt>
                <c:pt idx="18">
                  <c:v>-0.97495392352165855</c:v>
                </c:pt>
                <c:pt idx="19">
                  <c:v>-0.97519790442998555</c:v>
                </c:pt>
                <c:pt idx="20">
                  <c:v>-0.97527545623387113</c:v>
                </c:pt>
              </c:numCache>
            </c:numRef>
          </c:val>
        </c:ser>
        <c:ser>
          <c:idx val="2"/>
          <c:order val="2"/>
          <c:tx>
            <c:strRef>
              <c:f>Charts!$U$42</c:f>
              <c:strCache>
                <c:ptCount val="1"/>
                <c:pt idx="0">
                  <c:v>Profile</c:v>
                </c:pt>
              </c:strCache>
            </c:strRef>
          </c:tx>
          <c:marker>
            <c:symbol val="none"/>
          </c:marker>
          <c:val>
            <c:numRef>
              <c:f>Charts!$U$43:$U$63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val>
        </c:ser>
        <c:marker val="1"/>
        <c:axId val="157063808"/>
        <c:axId val="157073792"/>
      </c:lineChart>
      <c:catAx>
        <c:axId val="157063808"/>
        <c:scaling>
          <c:orientation val="minMax"/>
        </c:scaling>
        <c:axPos val="b"/>
        <c:numFmt formatCode="0" sourceLinked="1"/>
        <c:majorTickMark val="none"/>
        <c:tickLblPos val="nextTo"/>
        <c:crossAx val="157073792"/>
        <c:crosses val="autoZero"/>
        <c:auto val="1"/>
        <c:lblAlgn val="ctr"/>
        <c:lblOffset val="100"/>
      </c:catAx>
      <c:valAx>
        <c:axId val="157073792"/>
        <c:scaling>
          <c:orientation val="minMax"/>
        </c:scaling>
        <c:axPos val="l"/>
        <c:majorGridlines/>
        <c:numFmt formatCode="0.0" sourceLinked="1"/>
        <c:majorTickMark val="none"/>
        <c:tickLblPos val="nextTo"/>
        <c:crossAx val="1570638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</xdr:row>
      <xdr:rowOff>19050</xdr:rowOff>
    </xdr:from>
    <xdr:to>
      <xdr:col>9</xdr:col>
      <xdr:colOff>276225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1</xdr:row>
      <xdr:rowOff>0</xdr:rowOff>
    </xdr:from>
    <xdr:to>
      <xdr:col>20</xdr:col>
      <xdr:colOff>314325</xdr:colOff>
      <xdr:row>15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19</xdr:row>
      <xdr:rowOff>19050</xdr:rowOff>
    </xdr:from>
    <xdr:to>
      <xdr:col>9</xdr:col>
      <xdr:colOff>38100</xdr:colOff>
      <xdr:row>33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123825</xdr:colOff>
      <xdr:row>19</xdr:row>
      <xdr:rowOff>0</xdr:rowOff>
    </xdr:from>
    <xdr:to>
      <xdr:col>18</xdr:col>
      <xdr:colOff>428625</xdr:colOff>
      <xdr:row>33</xdr:row>
      <xdr:rowOff>76200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28575</xdr:colOff>
      <xdr:row>1</xdr:row>
      <xdr:rowOff>9525</xdr:rowOff>
    </xdr:from>
    <xdr:to>
      <xdr:col>28</xdr:col>
      <xdr:colOff>333375</xdr:colOff>
      <xdr:row>15</xdr:row>
      <xdr:rowOff>85725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381000</xdr:colOff>
      <xdr:row>18</xdr:row>
      <xdr:rowOff>171450</xdr:rowOff>
    </xdr:from>
    <xdr:to>
      <xdr:col>28</xdr:col>
      <xdr:colOff>304800</xdr:colOff>
      <xdr:row>33</xdr:row>
      <xdr:rowOff>57150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B2:AQ30"/>
  <sheetViews>
    <sheetView showGridLines="0" topLeftCell="D1" workbookViewId="0">
      <selection activeCell="N6" sqref="N6"/>
    </sheetView>
  </sheetViews>
  <sheetFormatPr defaultRowHeight="14.4"/>
  <cols>
    <col min="2" max="2" width="10.44140625" bestFit="1" customWidth="1"/>
    <col min="3" max="3" width="7.109375" bestFit="1" customWidth="1"/>
    <col min="11" max="11" width="14.5546875" customWidth="1"/>
    <col min="16" max="16" width="11" customWidth="1"/>
  </cols>
  <sheetData>
    <row r="2" spans="2:43" ht="25.8">
      <c r="B2" s="31" t="s">
        <v>39</v>
      </c>
      <c r="C2" s="32" t="s">
        <v>40</v>
      </c>
      <c r="E2" s="4"/>
      <c r="F2" s="5"/>
      <c r="G2" s="36" t="s">
        <v>35</v>
      </c>
      <c r="H2" s="5"/>
      <c r="I2" s="5"/>
      <c r="J2" s="5"/>
      <c r="K2" s="5"/>
      <c r="L2" s="5"/>
      <c r="M2" s="6"/>
    </row>
    <row r="3" spans="2:43">
      <c r="B3" s="7"/>
      <c r="C3" s="9"/>
      <c r="E3" s="7"/>
      <c r="F3" s="8"/>
      <c r="G3" s="8"/>
      <c r="H3" s="8"/>
      <c r="I3" s="8"/>
      <c r="J3" s="8"/>
      <c r="K3" s="8"/>
      <c r="L3" s="8"/>
      <c r="M3" s="9"/>
    </row>
    <row r="4" spans="2:43">
      <c r="B4" s="25" t="s">
        <v>27</v>
      </c>
      <c r="C4" s="6">
        <v>100</v>
      </c>
      <c r="E4" s="18" t="s">
        <v>18</v>
      </c>
      <c r="F4" s="25" t="s">
        <v>0</v>
      </c>
      <c r="G4" s="19" t="s">
        <v>1</v>
      </c>
      <c r="H4" s="19" t="s">
        <v>2</v>
      </c>
      <c r="I4" s="19" t="s">
        <v>3</v>
      </c>
      <c r="J4" s="19" t="s">
        <v>4</v>
      </c>
      <c r="K4" s="19" t="s">
        <v>13</v>
      </c>
      <c r="L4" s="19" t="s">
        <v>14</v>
      </c>
      <c r="M4" s="20" t="s">
        <v>22</v>
      </c>
      <c r="N4" s="27" t="s">
        <v>8</v>
      </c>
      <c r="O4" s="27" t="s">
        <v>8</v>
      </c>
      <c r="P4" s="18" t="s">
        <v>9</v>
      </c>
      <c r="Q4" s="29" t="s">
        <v>10</v>
      </c>
      <c r="R4" s="18" t="s">
        <v>9</v>
      </c>
      <c r="S4" s="29" t="s">
        <v>10</v>
      </c>
      <c r="T4" s="18" t="s">
        <v>9</v>
      </c>
      <c r="U4" s="29" t="s">
        <v>10</v>
      </c>
    </row>
    <row r="5" spans="2:43">
      <c r="B5" s="33" t="s">
        <v>26</v>
      </c>
      <c r="C5" s="17">
        <v>100</v>
      </c>
      <c r="E5" s="21"/>
      <c r="F5" s="21"/>
      <c r="G5" s="22"/>
      <c r="H5" s="22" t="s">
        <v>37</v>
      </c>
      <c r="I5" s="22"/>
      <c r="J5" s="22"/>
      <c r="K5" s="22"/>
      <c r="L5" s="22"/>
      <c r="M5" s="26"/>
      <c r="N5" s="30" t="s">
        <v>37</v>
      </c>
      <c r="O5" s="35" t="s">
        <v>36</v>
      </c>
      <c r="P5" s="11" t="s">
        <v>38</v>
      </c>
      <c r="Q5" s="26"/>
      <c r="R5" s="11" t="s">
        <v>33</v>
      </c>
      <c r="S5" s="24"/>
      <c r="T5" s="11" t="s">
        <v>34</v>
      </c>
      <c r="U5" s="24"/>
      <c r="AL5" s="56"/>
      <c r="AM5" s="46"/>
      <c r="AN5" s="46"/>
      <c r="AO5" s="46"/>
      <c r="AP5" s="57"/>
      <c r="AQ5" s="57"/>
    </row>
    <row r="6" spans="2:43">
      <c r="B6" s="33" t="s">
        <v>28</v>
      </c>
      <c r="C6" s="34">
        <v>0.05</v>
      </c>
      <c r="E6" s="12">
        <v>1</v>
      </c>
      <c r="F6" t="s">
        <v>11</v>
      </c>
      <c r="G6" t="s">
        <v>12</v>
      </c>
      <c r="H6">
        <v>1</v>
      </c>
      <c r="I6">
        <v>100</v>
      </c>
      <c r="J6">
        <f>J20</f>
        <v>0.5</v>
      </c>
      <c r="K6">
        <v>0.2</v>
      </c>
      <c r="L6">
        <v>0.3</v>
      </c>
      <c r="M6">
        <v>0.05</v>
      </c>
      <c r="N6" s="58">
        <f>ResidualEDF($F6,$G6,$C$4,$I6,$I20,$I21,$M6,$C$8,$J6,$L6,$K6,$C$5,$H6,$H20,$H21)</f>
        <v>0.60690381164729368</v>
      </c>
      <c r="O6" s="48">
        <f>ResidualEDF($F6,$G6,$C$4,$I6,$I20,$I21,$M6,$C$8,$J6,$L6,$K6,$C$5,-$H6,-$H20,-$H21)</f>
        <v>-1.6573038431242382</v>
      </c>
      <c r="P6" s="2">
        <f>GBlackScholes($G6,$C$4,$I6,$J6,$M6,$C$8,$K$6)</f>
        <v>6.8887285776806326</v>
      </c>
      <c r="Q6" s="2">
        <f>GBlackScholes($G6,$C$4,$I6,$J6,$M6,$C$8,$L$6)</f>
        <v>9.6348766284491862</v>
      </c>
      <c r="R6" s="2">
        <f>(L20+L21)-ABS(O6)</f>
        <v>7.6741454715861277</v>
      </c>
      <c r="S6" s="2">
        <f>(L20+L21)-ABS(N6)</f>
        <v>8.7245455030630712</v>
      </c>
      <c r="T6" s="2">
        <f>(S20+S21) - ResidualEDF($F6,$G6,$C$4,$I6,$I20,$I21,$M6,$C$8,$J6,$L6,$K6,$C$5,-$H6,-$R20,-$R21)</f>
        <v>7.7711355544341352</v>
      </c>
      <c r="U6" s="2">
        <f>(U20+U21) - ABS(ResidualEDF($F6,$G6,$C$4,$I6,$I20,$I21,$M6,$C$8,$J6,$L6,$K6,$C$5,$H6,$T20,$T21))</f>
        <v>8.6791870139232117</v>
      </c>
      <c r="AL6" s="56"/>
      <c r="AM6" s="46"/>
      <c r="AN6" s="46"/>
      <c r="AO6" s="46"/>
      <c r="AP6" s="57"/>
      <c r="AQ6" s="57"/>
    </row>
    <row r="7" spans="2:43">
      <c r="B7" s="33"/>
      <c r="C7" s="17"/>
      <c r="E7" s="12">
        <v>2</v>
      </c>
      <c r="F7" t="s">
        <v>21</v>
      </c>
      <c r="G7" t="s">
        <v>12</v>
      </c>
      <c r="H7">
        <v>1</v>
      </c>
      <c r="I7">
        <v>100</v>
      </c>
      <c r="J7">
        <f>J24</f>
        <v>0.5</v>
      </c>
      <c r="K7">
        <v>0.2</v>
      </c>
      <c r="L7">
        <v>0.3</v>
      </c>
      <c r="M7">
        <v>0.05</v>
      </c>
      <c r="N7" s="58">
        <f>ResidualEDF($F7,$G7,$C$4,$I7,$I22,$I23,$M7,$C$8,$J7,$L7,$K7,$C$5,$H7,$H22,$H23)</f>
        <v>-3.3331542855587863E-2</v>
      </c>
      <c r="O7" s="48">
        <f>ResidualEDF($F7,$G7,$C$4,$I7,$I22,$I23,$M7,$C$8,$J7,$L7,$K7,$C$5,-$H7,-$H22,-$H23)</f>
        <v>-8.8242353968022491E-2</v>
      </c>
      <c r="P7" s="2">
        <f>CashOrNothing($G7,$C$4,$I7,$J7,$M7,$C$8,$L7)</f>
        <v>0.49224034731308075</v>
      </c>
      <c r="Q7" s="2">
        <f>CashOrNothing($G7,$C$4,$I7,$J7,$M7,$C$8,$K7)</f>
        <v>0.52884718313163193</v>
      </c>
      <c r="R7" s="2">
        <f>(L22+L23)-ABS(O7)</f>
        <v>0.84490257750301412</v>
      </c>
      <c r="S7" s="2">
        <f>(L22+L23)-ABS(N7)</f>
        <v>0.89981338861544879</v>
      </c>
      <c r="T7" s="2">
        <f>(S22+S23)-ResidualEDF($F7,$G7,$C$4,$I7,$I22,$I23,$M7,$C$8,$J7,$L7,$K7,$C$5,-$H7,-$R22,-$R23)</f>
        <v>0.88574187994829234</v>
      </c>
      <c r="U7" s="2">
        <f>(U22+U23)-ResidualEDF($F7,$G7,$C$4,$I7,$I22,$I23,$M7,$C$8,$J7,$L7,$K7,$C$5,$H7,$T22,$T23)</f>
        <v>0.89030291886592794</v>
      </c>
      <c r="V7" s="2"/>
      <c r="AL7" s="56"/>
      <c r="AM7" s="46"/>
      <c r="AN7" s="46"/>
      <c r="AO7" s="46"/>
      <c r="AP7" s="57"/>
      <c r="AQ7" s="57"/>
    </row>
    <row r="8" spans="2:43">
      <c r="B8" s="33" t="s">
        <v>29</v>
      </c>
      <c r="C8" s="34">
        <v>0</v>
      </c>
      <c r="E8" s="12">
        <v>3</v>
      </c>
      <c r="F8" t="s">
        <v>21</v>
      </c>
      <c r="G8" t="s">
        <v>12</v>
      </c>
      <c r="H8">
        <v>1</v>
      </c>
      <c r="I8">
        <v>110</v>
      </c>
      <c r="J8">
        <f>J25</f>
        <v>0.5</v>
      </c>
      <c r="K8">
        <v>0.2</v>
      </c>
      <c r="L8">
        <v>0.3</v>
      </c>
      <c r="M8">
        <v>0.05</v>
      </c>
      <c r="N8" s="58">
        <f>ResidualEDF($F8,$G8,$C$4,$I8,$I24,$I25,$M8,$C$8,$J8,$L8,$K8,$C$5,$H8,$H24,$H25)</f>
        <v>-1.9624649940304582E-2</v>
      </c>
      <c r="O8" s="48">
        <f>ResidualEDF($F8,$G8,$C$4,$I8,$I24,$I25,$M8,$C$8,$J8,$L8,$K8,$C$5,-$H8,-$H24,-$H25)</f>
        <v>-8.402016041323275E-2</v>
      </c>
      <c r="P8" s="2">
        <f>CashOrNothing($G8,$C$4,$I8,$J8,$M8,$C$8,$K8)</f>
        <v>0.27802053534895388</v>
      </c>
      <c r="Q8" s="2">
        <f>CashOrNothing($G8,$C$4,$I8,$J8,$M8,$C$8,$L8)</f>
        <v>0.32270104536153893</v>
      </c>
      <c r="R8" s="2">
        <f>(L24+L25)-ABS(O8)</f>
        <v>0.42656414820438532</v>
      </c>
      <c r="S8" s="2">
        <f>(L24+L25)-ABS(N8)</f>
        <v>0.49095965867731345</v>
      </c>
      <c r="T8" s="2">
        <f>(S24+S25) - ResidualEDF($F8,$G8,$C$4,$I8,$I24,$I25,$M8,$C$8,$J8,$L8,$K8,$C$5,-$H8,-$R24,-$R25)</f>
        <v>0.44010073759219698</v>
      </c>
      <c r="U8" s="2">
        <f>(U24+U25)-ResidualEDF($F8,$G8,$C$4,$I8,$I24,$I25,$M8,$C$8,$J8,$L8,$K8,$C$5,$H8,$T24,$T25)</f>
        <v>0.48870560021605597</v>
      </c>
      <c r="V8" s="2"/>
      <c r="AL8" s="56"/>
      <c r="AM8" s="46"/>
      <c r="AN8" s="46"/>
      <c r="AO8" s="46"/>
      <c r="AP8" s="57"/>
      <c r="AQ8" s="57"/>
    </row>
    <row r="9" spans="2:43" ht="18" customHeight="1">
      <c r="B9" s="33" t="s">
        <v>13</v>
      </c>
      <c r="C9" s="34">
        <v>0.2</v>
      </c>
      <c r="E9" s="12">
        <v>4</v>
      </c>
      <c r="F9" t="s">
        <v>21</v>
      </c>
      <c r="G9" t="s">
        <v>12</v>
      </c>
      <c r="H9">
        <v>1</v>
      </c>
      <c r="I9">
        <v>120</v>
      </c>
      <c r="J9">
        <f>J26</f>
        <v>0.5</v>
      </c>
      <c r="K9">
        <v>0.2</v>
      </c>
      <c r="L9">
        <v>0.3</v>
      </c>
      <c r="M9">
        <v>0.05</v>
      </c>
      <c r="N9" s="58">
        <f>ResidualEDF($F9,$G9,$C$4,$I9,$I26,$I27,$M9,$C$8,$J9,$L9,$K9,$C$5,$H9,$H26,$H27)</f>
        <v>-1.0336789709190095E-2</v>
      </c>
      <c r="O9" s="48">
        <f>ResidualEDF($F9,$G9,$C$4,$I9,$I26,$I27,$M9,$C$8,$J9,$L9,$K9,$C$5,-$H9,-$H26,-$H27)</f>
        <v>-6.0541275808099031E-2</v>
      </c>
      <c r="P9" s="2">
        <f>CashOrNothing($G9,$C$4,$I9,$J9,$M9,$C$8,$K9)</f>
        <v>0.11545369837739515</v>
      </c>
      <c r="Q9" s="2">
        <f>CashOrNothing($G9,$C$4,$I9,$J9,$M9,$C$8,$L9)</f>
        <v>0.19340997178309413</v>
      </c>
      <c r="R9" s="2">
        <f>(L26+L27)-ABS(O9)</f>
        <v>0.19198319972854383</v>
      </c>
      <c r="S9" s="2">
        <f>(L26+L27)-ABS(N9)</f>
        <v>0.24218768582745276</v>
      </c>
      <c r="T9" s="2">
        <f>(S26+S27) - ResidualEDF($F9,$G9,$C$4,$I9,$I26,$I27,$M9,$C$8,$J9,$L9,$K9,$C$5,-$H9,-$R26,-$R27)</f>
        <v>0.19859831403064243</v>
      </c>
      <c r="U9" s="2">
        <f>(U26+U27)-ResidualEDF($F9,$G9,$C$4,$I9,$I26,$I27,$M9,$C$8,$J9,$L9,$K9,$C$5,$H9,$T26,$T27)</f>
        <v>0.2408386867814834</v>
      </c>
      <c r="V9" s="2"/>
      <c r="AL9" s="56"/>
      <c r="AM9" s="46"/>
      <c r="AN9" s="46"/>
      <c r="AO9" s="46"/>
      <c r="AP9" s="57"/>
      <c r="AQ9" s="57"/>
    </row>
    <row r="10" spans="2:43">
      <c r="B10" s="33" t="s">
        <v>14</v>
      </c>
      <c r="C10" s="34">
        <v>0.3</v>
      </c>
      <c r="E10" s="3"/>
      <c r="O10" s="2"/>
      <c r="P10" s="2"/>
      <c r="AL10" s="56"/>
      <c r="AM10" s="46"/>
      <c r="AN10" s="46"/>
      <c r="AO10" s="46"/>
      <c r="AP10" s="57"/>
      <c r="AQ10" s="57"/>
    </row>
    <row r="11" spans="2:43">
      <c r="B11" s="11" t="s">
        <v>32</v>
      </c>
      <c r="C11" s="9">
        <v>0.5</v>
      </c>
      <c r="E11" s="3"/>
      <c r="O11" s="2"/>
      <c r="P11" s="2"/>
      <c r="AL11" s="56"/>
      <c r="AM11" s="46"/>
      <c r="AN11" s="46"/>
      <c r="AO11" s="46"/>
      <c r="AP11" s="57"/>
      <c r="AQ11" s="57"/>
    </row>
    <row r="12" spans="2:43">
      <c r="E12" s="13" t="s">
        <v>25</v>
      </c>
      <c r="F12" s="14"/>
      <c r="G12" s="14"/>
      <c r="H12" s="14">
        <f>COUNT(H6:H11)</f>
        <v>4</v>
      </c>
      <c r="I12" s="14"/>
      <c r="J12" s="14"/>
      <c r="K12" s="14">
        <v>0.2</v>
      </c>
      <c r="L12" s="14">
        <f>L9</f>
        <v>0.3</v>
      </c>
      <c r="M12" s="14">
        <f>M9</f>
        <v>0.05</v>
      </c>
      <c r="N12" s="14"/>
      <c r="O12" s="15"/>
      <c r="P12" s="15">
        <f>SUM(P6:P11)</f>
        <v>7.7744431587200626</v>
      </c>
      <c r="Q12" s="15">
        <f t="shared" ref="Q12:S12" si="0">SUM(Q6:Q11)</f>
        <v>10.679834828725451</v>
      </c>
      <c r="R12" s="15">
        <f t="shared" si="0"/>
        <v>9.1375953970220696</v>
      </c>
      <c r="S12" s="15">
        <f t="shared" si="0"/>
        <v>10.357506236183287</v>
      </c>
      <c r="T12" s="15">
        <f t="shared" ref="T12" si="1">SUM(T6:T11)</f>
        <v>9.295576486005265</v>
      </c>
      <c r="U12" s="15">
        <f t="shared" ref="U12" si="2">SUM(U6:U11)</f>
        <v>10.299034219786678</v>
      </c>
      <c r="AL12" s="56"/>
      <c r="AM12" s="46"/>
      <c r="AN12" s="46"/>
      <c r="AO12" s="46"/>
      <c r="AP12" s="57"/>
      <c r="AQ12" s="57"/>
    </row>
    <row r="13" spans="2:43">
      <c r="O13" s="2"/>
      <c r="P13" s="2"/>
      <c r="AL13" s="56"/>
      <c r="AM13" s="46"/>
      <c r="AN13" s="46"/>
      <c r="AO13" s="46"/>
      <c r="AP13" s="57"/>
      <c r="AQ13" s="57"/>
    </row>
    <row r="14" spans="2:43">
      <c r="O14" s="2"/>
      <c r="P14" s="2"/>
      <c r="AL14" s="56"/>
      <c r="AM14" s="46"/>
      <c r="AN14" s="46"/>
      <c r="AO14" s="46"/>
      <c r="AP14" s="57"/>
      <c r="AQ14" s="57"/>
    </row>
    <row r="15" spans="2:43">
      <c r="O15" s="2"/>
      <c r="P15" s="2"/>
      <c r="AL15" s="56"/>
      <c r="AM15" s="46"/>
      <c r="AN15" s="46"/>
      <c r="AO15" s="46"/>
      <c r="AP15" s="57"/>
      <c r="AQ15" s="57"/>
    </row>
    <row r="16" spans="2:43" ht="25.8">
      <c r="E16" s="4"/>
      <c r="F16" s="5"/>
      <c r="G16" s="5"/>
      <c r="H16" s="10" t="s">
        <v>20</v>
      </c>
      <c r="I16" s="10"/>
      <c r="J16" s="5"/>
      <c r="K16" s="5"/>
      <c r="L16" s="5"/>
      <c r="M16" s="6"/>
      <c r="O16" s="2"/>
      <c r="P16" s="2"/>
      <c r="R16" s="50" t="s">
        <v>41</v>
      </c>
      <c r="S16" s="51"/>
      <c r="T16" s="52"/>
      <c r="U16" s="53"/>
      <c r="AL16" s="56"/>
      <c r="AM16" s="46"/>
      <c r="AN16" s="46"/>
      <c r="AO16" s="46"/>
      <c r="AP16" s="57"/>
      <c r="AQ16" s="57"/>
    </row>
    <row r="17" spans="5:43">
      <c r="E17" s="7"/>
      <c r="F17" s="16"/>
      <c r="G17" s="16"/>
      <c r="H17" s="16"/>
      <c r="I17" s="16"/>
      <c r="J17" s="16"/>
      <c r="K17" s="16"/>
      <c r="L17" s="16"/>
      <c r="M17" s="17"/>
      <c r="O17" s="2"/>
      <c r="P17" s="2"/>
      <c r="R17" s="11"/>
      <c r="S17" s="23"/>
      <c r="T17" s="49"/>
      <c r="U17" s="54"/>
      <c r="AL17" s="56"/>
      <c r="AM17" s="46"/>
      <c r="AN17" s="46"/>
      <c r="AO17" s="46"/>
      <c r="AP17" s="57"/>
      <c r="AQ17" s="57"/>
    </row>
    <row r="18" spans="5:43">
      <c r="E18" s="37" t="s">
        <v>18</v>
      </c>
      <c r="F18" s="25" t="s">
        <v>0</v>
      </c>
      <c r="G18" s="19" t="s">
        <v>1</v>
      </c>
      <c r="H18" s="19" t="s">
        <v>2</v>
      </c>
      <c r="I18" s="19" t="s">
        <v>3</v>
      </c>
      <c r="J18" s="19" t="s">
        <v>4</v>
      </c>
      <c r="K18" s="19" t="s">
        <v>5</v>
      </c>
      <c r="L18" s="19" t="s">
        <v>50</v>
      </c>
      <c r="M18" s="19" t="s">
        <v>6</v>
      </c>
      <c r="N18" s="19" t="s">
        <v>8</v>
      </c>
      <c r="O18" s="38" t="s">
        <v>9</v>
      </c>
      <c r="P18" s="39" t="s">
        <v>10</v>
      </c>
      <c r="Q18" s="3"/>
      <c r="R18" s="42" t="s">
        <v>2</v>
      </c>
      <c r="S18" s="43" t="s">
        <v>50</v>
      </c>
      <c r="T18" s="43" t="s">
        <v>2</v>
      </c>
      <c r="U18" s="44" t="s">
        <v>50</v>
      </c>
      <c r="AL18" s="56"/>
      <c r="AM18" s="46"/>
      <c r="AN18" s="46"/>
      <c r="AO18" s="46"/>
      <c r="AP18" s="57"/>
      <c r="AQ18" s="57"/>
    </row>
    <row r="19" spans="5:43">
      <c r="E19" s="28"/>
      <c r="F19" s="21"/>
      <c r="G19" s="22"/>
      <c r="H19" s="22" t="s">
        <v>36</v>
      </c>
      <c r="I19" s="22"/>
      <c r="J19" s="22"/>
      <c r="K19" s="22"/>
      <c r="L19" s="22" t="s">
        <v>36</v>
      </c>
      <c r="M19" s="22" t="s">
        <v>7</v>
      </c>
      <c r="N19" s="22"/>
      <c r="O19" s="40"/>
      <c r="P19" s="41"/>
      <c r="Q19" s="3"/>
      <c r="R19" s="45" t="s">
        <v>37</v>
      </c>
      <c r="S19" s="23" t="s">
        <v>37</v>
      </c>
      <c r="T19" s="23" t="s">
        <v>36</v>
      </c>
      <c r="U19" s="24" t="s">
        <v>36</v>
      </c>
      <c r="AL19" s="56"/>
      <c r="AM19" s="46"/>
      <c r="AN19" s="46"/>
      <c r="AO19" s="46"/>
      <c r="AP19" s="57"/>
      <c r="AQ19" s="57"/>
    </row>
    <row r="20" spans="5:43">
      <c r="E20" s="3" t="s">
        <v>15</v>
      </c>
      <c r="F20" t="s">
        <v>11</v>
      </c>
      <c r="G20" t="s">
        <v>12</v>
      </c>
      <c r="H20">
        <v>-0.5</v>
      </c>
      <c r="I20">
        <v>90</v>
      </c>
      <c r="J20">
        <f t="shared" ref="J20:J27" si="3">$C$11</f>
        <v>0.5</v>
      </c>
      <c r="K20">
        <f t="shared" ref="K20:K27" si="4">($C$9+$C$10)/2</f>
        <v>0.25</v>
      </c>
      <c r="L20" s="2">
        <f t="shared" ref="L20:L27" si="5">ABS(O20*H20)</f>
        <v>7.2185581182303329</v>
      </c>
      <c r="M20">
        <f>E6</f>
        <v>1</v>
      </c>
      <c r="N20" s="2">
        <f>N6</f>
        <v>0.60690381164729368</v>
      </c>
      <c r="O20" s="2">
        <f t="shared" ref="O20:P27" si="6">GBlackScholes($G20,$C$4,$I20,$J20,$C$6,$C$8,$K20)</f>
        <v>14.437116236460666</v>
      </c>
      <c r="P20" s="2">
        <f t="shared" si="6"/>
        <v>14.437116236460666</v>
      </c>
      <c r="R20" s="47">
        <v>0.67</v>
      </c>
      <c r="S20" s="48">
        <f>ABS(R20)*O20</f>
        <v>9.6728678784286473</v>
      </c>
      <c r="T20" s="59">
        <v>-0.62</v>
      </c>
      <c r="U20" s="58">
        <f>ABS(T20)*P20</f>
        <v>8.9510120666056121</v>
      </c>
      <c r="AL20" s="56"/>
      <c r="AM20" s="46"/>
      <c r="AN20" s="46"/>
      <c r="AO20" s="46"/>
      <c r="AP20" s="57"/>
      <c r="AQ20" s="57"/>
    </row>
    <row r="21" spans="5:43">
      <c r="E21" s="3" t="s">
        <v>17</v>
      </c>
      <c r="F21" t="s">
        <v>11</v>
      </c>
      <c r="G21" t="s">
        <v>12</v>
      </c>
      <c r="H21">
        <v>-0.5</v>
      </c>
      <c r="I21">
        <v>110</v>
      </c>
      <c r="J21">
        <f t="shared" si="3"/>
        <v>0.5</v>
      </c>
      <c r="K21">
        <f t="shared" si="4"/>
        <v>0.25</v>
      </c>
      <c r="L21" s="2">
        <f t="shared" si="5"/>
        <v>2.1128911964800321</v>
      </c>
      <c r="M21">
        <f>E6</f>
        <v>1</v>
      </c>
      <c r="N21" s="2">
        <f>N6</f>
        <v>0.60690381164729368</v>
      </c>
      <c r="O21" s="2">
        <f t="shared" si="6"/>
        <v>4.2257823929600642</v>
      </c>
      <c r="P21" s="2">
        <f t="shared" si="6"/>
        <v>4.2257823929600642</v>
      </c>
      <c r="R21" s="47">
        <v>0.55000000000000004</v>
      </c>
      <c r="S21" s="48">
        <f>ABS(R21)*O21</f>
        <v>2.3241803161280354</v>
      </c>
      <c r="T21" s="59">
        <v>-0.53</v>
      </c>
      <c r="U21" s="58">
        <f>ABS(T21)*P21</f>
        <v>2.2396646682688339</v>
      </c>
      <c r="AM21" s="46"/>
      <c r="AN21" s="46"/>
      <c r="AO21" s="46"/>
      <c r="AP21" s="46"/>
      <c r="AQ21" s="46"/>
    </row>
    <row r="22" spans="5:43">
      <c r="E22" s="3" t="s">
        <v>16</v>
      </c>
      <c r="F22" t="s">
        <v>11</v>
      </c>
      <c r="G22" t="s">
        <v>12</v>
      </c>
      <c r="H22">
        <v>-0.05</v>
      </c>
      <c r="I22">
        <v>90</v>
      </c>
      <c r="J22">
        <f t="shared" si="3"/>
        <v>0.5</v>
      </c>
      <c r="K22">
        <f t="shared" si="4"/>
        <v>0.25</v>
      </c>
      <c r="L22" s="2">
        <f t="shared" si="5"/>
        <v>0.72185581182303338</v>
      </c>
      <c r="M22">
        <f>E7</f>
        <v>2</v>
      </c>
      <c r="N22" s="2">
        <f>N7</f>
        <v>-3.3331542855587863E-2</v>
      </c>
      <c r="O22" s="2">
        <f t="shared" si="6"/>
        <v>14.437116236460666</v>
      </c>
      <c r="P22" s="2">
        <f t="shared" si="6"/>
        <v>14.437116236460666</v>
      </c>
      <c r="R22" s="47">
        <v>5.0999999999999997E-2</v>
      </c>
      <c r="S22" s="48">
        <f t="shared" ref="S22:S27" si="7">ABS(R22)*O22</f>
        <v>0.73629292805949387</v>
      </c>
      <c r="T22" s="59">
        <v>-0.05</v>
      </c>
      <c r="U22" s="58">
        <f t="shared" ref="U22:U27" si="8">ABS(T22)*P22</f>
        <v>0.72185581182303338</v>
      </c>
    </row>
    <row r="23" spans="5:43">
      <c r="E23" s="3" t="s">
        <v>19</v>
      </c>
      <c r="F23" t="s">
        <v>11</v>
      </c>
      <c r="G23" t="s">
        <v>12</v>
      </c>
      <c r="H23">
        <v>0.05</v>
      </c>
      <c r="I23">
        <v>110</v>
      </c>
      <c r="J23">
        <f t="shared" si="3"/>
        <v>0.5</v>
      </c>
      <c r="K23">
        <f t="shared" si="4"/>
        <v>0.25</v>
      </c>
      <c r="L23" s="2">
        <f t="shared" si="5"/>
        <v>0.21128911964800323</v>
      </c>
      <c r="M23">
        <f>E7</f>
        <v>2</v>
      </c>
      <c r="N23" s="2">
        <f>N22</f>
        <v>-3.3331542855587863E-2</v>
      </c>
      <c r="O23" s="2">
        <f t="shared" si="6"/>
        <v>4.2257823929600642</v>
      </c>
      <c r="P23" s="2">
        <f t="shared" si="6"/>
        <v>4.2257823929600642</v>
      </c>
      <c r="R23" s="47">
        <v>-5.5E-2</v>
      </c>
      <c r="S23" s="48">
        <f t="shared" si="7"/>
        <v>0.23241803161280353</v>
      </c>
      <c r="T23" s="59">
        <v>3.9E-2</v>
      </c>
      <c r="U23" s="58">
        <f t="shared" si="8"/>
        <v>0.16480551332544249</v>
      </c>
    </row>
    <row r="24" spans="5:43">
      <c r="E24" s="3" t="s">
        <v>23</v>
      </c>
      <c r="F24" t="s">
        <v>11</v>
      </c>
      <c r="G24" t="s">
        <v>12</v>
      </c>
      <c r="H24">
        <v>-0.05</v>
      </c>
      <c r="I24">
        <v>100</v>
      </c>
      <c r="J24">
        <f t="shared" si="3"/>
        <v>0.5</v>
      </c>
      <c r="K24">
        <f t="shared" si="4"/>
        <v>0.25</v>
      </c>
      <c r="L24" s="2">
        <f t="shared" si="5"/>
        <v>0.41300075996716146</v>
      </c>
      <c r="M24">
        <f>E8</f>
        <v>3</v>
      </c>
      <c r="N24" s="2">
        <f>N8</f>
        <v>-1.9624649940304582E-2</v>
      </c>
      <c r="O24" s="2">
        <f t="shared" si="6"/>
        <v>8.2600151993432291</v>
      </c>
      <c r="P24" s="2">
        <f t="shared" si="6"/>
        <v>8.2600151993432291</v>
      </c>
      <c r="R24" s="47">
        <v>0.05</v>
      </c>
      <c r="S24" s="48">
        <f t="shared" si="7"/>
        <v>0.41300075996716146</v>
      </c>
      <c r="T24" s="59">
        <v>-0.05</v>
      </c>
      <c r="U24" s="58">
        <f t="shared" si="8"/>
        <v>0.41300075996716146</v>
      </c>
    </row>
    <row r="25" spans="5:43">
      <c r="E25" s="3" t="s">
        <v>24</v>
      </c>
      <c r="F25" t="s">
        <v>11</v>
      </c>
      <c r="G25" t="s">
        <v>12</v>
      </c>
      <c r="H25">
        <v>0.05</v>
      </c>
      <c r="I25">
        <v>120</v>
      </c>
      <c r="J25">
        <f t="shared" si="3"/>
        <v>0.5</v>
      </c>
      <c r="K25">
        <f t="shared" si="4"/>
        <v>0.25</v>
      </c>
      <c r="L25" s="2">
        <f t="shared" si="5"/>
        <v>9.7583548650456556E-2</v>
      </c>
      <c r="M25">
        <f>E8</f>
        <v>3</v>
      </c>
      <c r="N25" s="2">
        <f>N24</f>
        <v>-1.9624649940304582E-2</v>
      </c>
      <c r="O25" s="2">
        <f t="shared" si="6"/>
        <v>1.9516709730091311</v>
      </c>
      <c r="P25" s="2">
        <f t="shared" si="6"/>
        <v>1.9516709730091311</v>
      </c>
      <c r="R25" s="47">
        <v>-5.3999999999999999E-2</v>
      </c>
      <c r="S25" s="48">
        <f t="shared" si="7"/>
        <v>0.10539023254249308</v>
      </c>
      <c r="T25" s="59">
        <v>4.3999999999999997E-2</v>
      </c>
      <c r="U25" s="58">
        <f t="shared" si="8"/>
        <v>8.5873522812401765E-2</v>
      </c>
    </row>
    <row r="26" spans="5:43">
      <c r="E26" s="3" t="s">
        <v>30</v>
      </c>
      <c r="F26" t="s">
        <v>11</v>
      </c>
      <c r="G26" t="s">
        <v>12</v>
      </c>
      <c r="H26">
        <v>-0.05</v>
      </c>
      <c r="I26">
        <v>110</v>
      </c>
      <c r="J26">
        <f t="shared" si="3"/>
        <v>0.5</v>
      </c>
      <c r="K26">
        <f t="shared" si="4"/>
        <v>0.25</v>
      </c>
      <c r="L26" s="2">
        <f t="shared" si="5"/>
        <v>0.21128911964800323</v>
      </c>
      <c r="M26">
        <f>E9</f>
        <v>4</v>
      </c>
      <c r="N26" s="2">
        <f>N9:O9</f>
        <v>-1.0336789709190095E-2</v>
      </c>
      <c r="O26" s="2">
        <f t="shared" si="6"/>
        <v>4.2257823929600642</v>
      </c>
      <c r="P26" s="2">
        <f t="shared" si="6"/>
        <v>4.2257823929600642</v>
      </c>
      <c r="R26" s="47">
        <v>0.05</v>
      </c>
      <c r="S26" s="48">
        <f t="shared" si="7"/>
        <v>0.21128911964800323</v>
      </c>
      <c r="T26" s="59">
        <v>-0.05</v>
      </c>
      <c r="U26" s="58">
        <f t="shared" si="8"/>
        <v>0.21128911964800323</v>
      </c>
      <c r="AP26" s="46"/>
    </row>
    <row r="27" spans="5:43">
      <c r="E27" s="3" t="s">
        <v>31</v>
      </c>
      <c r="F27" t="s">
        <v>11</v>
      </c>
      <c r="G27" t="s">
        <v>12</v>
      </c>
      <c r="H27">
        <v>0.05</v>
      </c>
      <c r="I27">
        <v>130</v>
      </c>
      <c r="J27">
        <f t="shared" si="3"/>
        <v>0.5</v>
      </c>
      <c r="K27">
        <f t="shared" si="4"/>
        <v>0.25</v>
      </c>
      <c r="L27" s="2">
        <f t="shared" si="5"/>
        <v>4.1235355888639642E-2</v>
      </c>
      <c r="M27">
        <f>E9</f>
        <v>4</v>
      </c>
      <c r="N27" s="2">
        <f>N26</f>
        <v>-1.0336789709190095E-2</v>
      </c>
      <c r="O27" s="2">
        <f t="shared" si="6"/>
        <v>0.82470711777279282</v>
      </c>
      <c r="P27" s="2">
        <f t="shared" si="6"/>
        <v>0.82470711777279282</v>
      </c>
      <c r="R27" s="47">
        <v>-5.5E-2</v>
      </c>
      <c r="S27" s="48">
        <f t="shared" si="7"/>
        <v>4.5358891477503605E-2</v>
      </c>
      <c r="T27" s="59">
        <v>3.7999999999999999E-2</v>
      </c>
      <c r="U27" s="58">
        <f t="shared" si="8"/>
        <v>3.1338870475366126E-2</v>
      </c>
    </row>
    <row r="28" spans="5:43">
      <c r="E28" s="3"/>
    </row>
    <row r="29" spans="5:43">
      <c r="E29" s="3"/>
    </row>
    <row r="30" spans="5:43">
      <c r="E30" s="13" t="s">
        <v>25</v>
      </c>
      <c r="F30" s="14"/>
      <c r="G30" s="14"/>
      <c r="H30" s="14">
        <f>COUNT(H20:H27)</f>
        <v>8</v>
      </c>
      <c r="I30" s="14"/>
      <c r="J30" s="14">
        <f>J20</f>
        <v>0.5</v>
      </c>
      <c r="K30" s="14">
        <f>K27</f>
        <v>0.25</v>
      </c>
      <c r="L30" s="15">
        <f>SUM(L20:L27)</f>
        <v>11.027703030335662</v>
      </c>
      <c r="M30" s="14"/>
      <c r="N30" s="14"/>
      <c r="O30" s="15">
        <f>SUM(O20:O29)</f>
        <v>52.587972941926679</v>
      </c>
      <c r="P30" s="15">
        <f>SUM(P20:P29)</f>
        <v>52.587972941926679</v>
      </c>
      <c r="Q30" s="15"/>
      <c r="R30" s="15"/>
      <c r="S30" s="15">
        <f t="shared" ref="S30:U30" si="9">SUM(S20:S29)</f>
        <v>13.740798157864143</v>
      </c>
      <c r="T30" s="15"/>
      <c r="U30" s="15">
        <f t="shared" si="9"/>
        <v>12.818840332925854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41:V91"/>
  <sheetViews>
    <sheetView tabSelected="1" topLeftCell="K1" workbookViewId="0">
      <selection activeCell="X42" sqref="X42"/>
    </sheetView>
  </sheetViews>
  <sheetFormatPr defaultRowHeight="14.4"/>
  <cols>
    <col min="13" max="13" width="9.109375" customWidth="1"/>
  </cols>
  <sheetData>
    <row r="41" spans="2:21">
      <c r="E41" t="s">
        <v>11</v>
      </c>
      <c r="N41" t="s">
        <v>21</v>
      </c>
    </row>
    <row r="42" spans="2:21">
      <c r="B42" t="s">
        <v>43</v>
      </c>
      <c r="C42" t="s">
        <v>3</v>
      </c>
      <c r="E42" t="s">
        <v>44</v>
      </c>
      <c r="F42" t="s">
        <v>48</v>
      </c>
      <c r="G42" t="s">
        <v>49</v>
      </c>
      <c r="H42" t="s">
        <v>42</v>
      </c>
      <c r="I42" t="s">
        <v>8</v>
      </c>
      <c r="J42" t="s">
        <v>42</v>
      </c>
      <c r="K42" t="s">
        <v>47</v>
      </c>
      <c r="N42" t="s">
        <v>44</v>
      </c>
      <c r="O42" t="s">
        <v>45</v>
      </c>
      <c r="P42" t="s">
        <v>52</v>
      </c>
      <c r="Q42" s="60" t="s">
        <v>47</v>
      </c>
      <c r="R42" s="60" t="s">
        <v>46</v>
      </c>
      <c r="S42" t="s">
        <v>8</v>
      </c>
      <c r="T42" t="s">
        <v>42</v>
      </c>
      <c r="U42" t="s">
        <v>51</v>
      </c>
    </row>
    <row r="43" spans="2:21">
      <c r="B43" s="55">
        <v>1E-3</v>
      </c>
      <c r="C43" s="55">
        <v>1E-3</v>
      </c>
      <c r="E43" s="55">
        <f>GBlackScholes("Call",B43,90,0.5,0.05,0,0.25)</f>
        <v>0</v>
      </c>
      <c r="F43" s="55">
        <f>GBlackScholes("Call",C43,100,0.5,0.05,0,0.25)*-1</f>
        <v>0</v>
      </c>
      <c r="G43" s="55">
        <f>GBlackScholes("Call",B43,110,0.5,0.05,0,0.25)</f>
        <v>0</v>
      </c>
      <c r="H43" s="55">
        <f>(E43+G43 )*-0.5</f>
        <v>0</v>
      </c>
      <c r="I43" s="55">
        <f>ResidualEDF("Vanilla","Call",B43,100,90,110,0.05,0,0.5,0.3,0.2,100,1,-0.5,-0.5)</f>
        <v>0</v>
      </c>
      <c r="J43" s="55">
        <f>0.5*IF((B43-90)&lt;0,0,(B43-90))+ IF((B43-110)&lt;0,0,(B43-110))*0.5-IF((B43-100)&lt;0,0,(B43-100))*1</f>
        <v>0</v>
      </c>
      <c r="K43" s="55">
        <f>-0.5*IF((B43-90)&lt;0,0,(B43-90))+ IF((B43-110)&lt;0,0,(B43-110))*-0.5</f>
        <v>0</v>
      </c>
      <c r="L43" s="55"/>
      <c r="N43" s="55">
        <f t="shared" ref="N43:N63" si="0">E43</f>
        <v>0</v>
      </c>
      <c r="O43" s="55">
        <f t="shared" ref="O43:O63" si="1">G43*-1</f>
        <v>0</v>
      </c>
      <c r="P43" s="46">
        <f>-0.05*IF((B43-90)&lt;0,0,(B43-90))+IF((B43-110)&lt;0,0,(B43-110))*0.05+IF((B43-100)&lt;0,0,1)*1</f>
        <v>0</v>
      </c>
      <c r="Q43" s="60">
        <f>T43*-1</f>
        <v>0</v>
      </c>
      <c r="R43" s="60">
        <f>CashOrNothing("Call",B43,100,0.5,0.05,0,0.25)*-1</f>
        <v>0</v>
      </c>
      <c r="S43" s="60">
        <f t="shared" ref="S43:S63" si="2">ABS(ResidualEDF("Binary","Call",B43,100,90,110,0.05,0,0.5,0.3,0.2,100,1,-0.05,0.05))</f>
        <v>0</v>
      </c>
      <c r="T43" s="55">
        <f>(N43*0.05)+(O43*0.05)</f>
        <v>0</v>
      </c>
      <c r="U43">
        <f>IF((B43-100)&lt;0,0,-1)</f>
        <v>0</v>
      </c>
    </row>
    <row r="44" spans="2:21">
      <c r="B44" s="55">
        <f>0+10</f>
        <v>10</v>
      </c>
      <c r="C44" s="55">
        <f>C43+10</f>
        <v>10.000999999999999</v>
      </c>
      <c r="E44" s="55">
        <f t="shared" ref="E44:E63" si="3">GBlackScholes("Call",B44,90,0.5,0.05,0,0.25)</f>
        <v>2.2031592299095799E-35</v>
      </c>
      <c r="F44" s="55">
        <f t="shared" ref="F44:F63" si="4">GBlackScholes("Call",C44,100,0.5,0.05,0,0.25)*-1</f>
        <v>-1.1774990414543016E-38</v>
      </c>
      <c r="G44" s="55">
        <f t="shared" ref="G44:G63" si="5">GBlackScholes("Call",B44,110,0.5,0.05,0,0.25)</f>
        <v>9.4077014485011247E-42</v>
      </c>
      <c r="H44" s="55">
        <f t="shared" ref="H44:H63" si="6">(E44+G44 )*-0.5</f>
        <v>-1.1015800853398624E-35</v>
      </c>
      <c r="I44" s="55">
        <f t="shared" ref="I44:I63" si="7">ResidualEDF("Vanilla","Call",B44,100,90,110,0.05,0,0.5,0.3,0.2,100,1,-0.5,-0.5)</f>
        <v>0</v>
      </c>
      <c r="J44" s="55">
        <f t="shared" ref="J44:J63" si="8">0.5*IF((B44-90)&lt;0,0,(B44-90))+ IF((B44-110)&lt;0,0,(B44-110))*0.5-IF((B44-100)&lt;0,0,(B44-100))*1</f>
        <v>0</v>
      </c>
      <c r="K44" s="55">
        <f t="shared" ref="K44:K63" si="9">-0.5*IF((B44-90)&lt;0,0,(B44-90))+ IF((B44-110)&lt;0,0,(B44-110))*-0.5</f>
        <v>0</v>
      </c>
      <c r="L44" s="55"/>
      <c r="N44" s="55">
        <f t="shared" si="0"/>
        <v>2.2031592299095799E-35</v>
      </c>
      <c r="O44" s="55">
        <f t="shared" si="1"/>
        <v>-9.4077014485011247E-42</v>
      </c>
      <c r="P44" s="46">
        <f t="shared" ref="P44:P63" si="10">-0.05*IF((B44-90)&lt;0,0,(B44-90))+IF((B44-110)&lt;0,0,(B44-110))*0.05+IF((B44-100)&lt;0,0,1)*1</f>
        <v>0</v>
      </c>
      <c r="Q44" s="60">
        <f t="shared" ref="Q44:Q63" si="11">T44*-1</f>
        <v>-1.1015791445697177E-36</v>
      </c>
      <c r="R44" s="60">
        <f t="shared" ref="R44:R63" si="12">CashOrNothing("Call",B44,100,0.5,0.05,0,0.25)*-1</f>
        <v>-8.5608751256078942E-39</v>
      </c>
      <c r="S44" s="60">
        <f t="shared" si="2"/>
        <v>0</v>
      </c>
      <c r="T44" s="55">
        <f t="shared" ref="T44:T63" si="13">(N44*0.05)+(O44*0.05)</f>
        <v>1.1015791445697177E-36</v>
      </c>
      <c r="U44">
        <f t="shared" ref="U44:U63" si="14">IF((B44-100)&lt;0,0,-1)</f>
        <v>0</v>
      </c>
    </row>
    <row r="45" spans="2:21">
      <c r="B45" s="55">
        <f>B44+10</f>
        <v>20</v>
      </c>
      <c r="C45" s="55">
        <f t="shared" ref="C45:C63" si="15">C44+10</f>
        <v>20.000999999999998</v>
      </c>
      <c r="E45" s="55">
        <f t="shared" si="3"/>
        <v>2.5381229303435355E-17</v>
      </c>
      <c r="F45" s="55">
        <f t="shared" si="4"/>
        <v>-1.3430427956249333E-19</v>
      </c>
      <c r="G45" s="55">
        <f t="shared" si="5"/>
        <v>8.6446477646234225E-22</v>
      </c>
      <c r="H45" s="55">
        <f t="shared" si="6"/>
        <v>-1.2691046884105908E-17</v>
      </c>
      <c r="I45" s="55">
        <f t="shared" si="7"/>
        <v>0</v>
      </c>
      <c r="J45" s="55">
        <f t="shared" si="8"/>
        <v>0</v>
      </c>
      <c r="K45" s="55">
        <f t="shared" si="9"/>
        <v>0</v>
      </c>
      <c r="L45" s="55"/>
      <c r="N45" s="55">
        <f t="shared" si="0"/>
        <v>2.5381229303435355E-17</v>
      </c>
      <c r="O45" s="55">
        <f t="shared" si="1"/>
        <v>-8.6446477646234225E-22</v>
      </c>
      <c r="P45" s="46">
        <f t="shared" si="10"/>
        <v>0</v>
      </c>
      <c r="Q45" s="60">
        <f t="shared" si="11"/>
        <v>-1.2690182419329448E-18</v>
      </c>
      <c r="R45" s="60">
        <f t="shared" si="12"/>
        <v>-6.887973881740999E-20</v>
      </c>
      <c r="S45" s="60">
        <f t="shared" si="2"/>
        <v>0</v>
      </c>
      <c r="T45" s="55">
        <f t="shared" si="13"/>
        <v>1.2690182419329448E-18</v>
      </c>
      <c r="U45">
        <f t="shared" si="14"/>
        <v>0</v>
      </c>
    </row>
    <row r="46" spans="2:21">
      <c r="B46" s="55">
        <f t="shared" ref="B46:B63" si="16">B45+10</f>
        <v>30</v>
      </c>
      <c r="C46" s="55">
        <f t="shared" si="15"/>
        <v>30.000999999999998</v>
      </c>
      <c r="E46" s="55">
        <f t="shared" si="3"/>
        <v>8.8773711260583071E-10</v>
      </c>
      <c r="F46" s="55">
        <f t="shared" si="4"/>
        <v>-1.7637456967808136E-11</v>
      </c>
      <c r="G46" s="55">
        <f t="shared" si="5"/>
        <v>3.7842283023669298E-13</v>
      </c>
      <c r="H46" s="55">
        <f t="shared" si="6"/>
        <v>-4.4405776771803369E-10</v>
      </c>
      <c r="I46" s="55">
        <f t="shared" si="7"/>
        <v>0</v>
      </c>
      <c r="J46" s="55">
        <f t="shared" si="8"/>
        <v>0</v>
      </c>
      <c r="K46" s="55">
        <f t="shared" si="9"/>
        <v>0</v>
      </c>
      <c r="L46" s="55"/>
      <c r="N46" s="55">
        <f t="shared" si="0"/>
        <v>8.8773711260583071E-10</v>
      </c>
      <c r="O46" s="55">
        <f t="shared" si="1"/>
        <v>-3.7842283023669298E-13</v>
      </c>
      <c r="P46" s="46">
        <f t="shared" si="10"/>
        <v>0</v>
      </c>
      <c r="Q46" s="60">
        <f t="shared" si="11"/>
        <v>-4.43679344887797E-11</v>
      </c>
      <c r="R46" s="60">
        <f t="shared" si="12"/>
        <v>-6.8385151149449474E-12</v>
      </c>
      <c r="S46" s="60">
        <f t="shared" si="2"/>
        <v>0</v>
      </c>
      <c r="T46" s="55">
        <f t="shared" si="13"/>
        <v>4.43679344887797E-11</v>
      </c>
      <c r="U46">
        <f t="shared" si="14"/>
        <v>0</v>
      </c>
    </row>
    <row r="47" spans="2:21">
      <c r="B47" s="55">
        <f t="shared" si="16"/>
        <v>40</v>
      </c>
      <c r="C47" s="55">
        <f t="shared" si="15"/>
        <v>40.000999999999998</v>
      </c>
      <c r="E47" s="55">
        <f t="shared" si="3"/>
        <v>9.4295504099498283E-6</v>
      </c>
      <c r="F47" s="55">
        <f t="shared" si="4"/>
        <v>-4.697693957266156E-7</v>
      </c>
      <c r="G47" s="55">
        <f t="shared" si="5"/>
        <v>2.3331511077978978E-8</v>
      </c>
      <c r="H47" s="55">
        <f t="shared" si="6"/>
        <v>-4.7264409605139039E-6</v>
      </c>
      <c r="I47" s="55">
        <f t="shared" si="7"/>
        <v>0</v>
      </c>
      <c r="J47" s="55">
        <f t="shared" si="8"/>
        <v>0</v>
      </c>
      <c r="K47" s="55">
        <f t="shared" si="9"/>
        <v>0</v>
      </c>
      <c r="L47" s="55"/>
      <c r="N47" s="55">
        <f t="shared" si="0"/>
        <v>9.4295504099498283E-6</v>
      </c>
      <c r="O47" s="55">
        <f t="shared" si="1"/>
        <v>-2.3331511077978978E-8</v>
      </c>
      <c r="P47" s="46">
        <f t="shared" si="10"/>
        <v>0</v>
      </c>
      <c r="Q47" s="60">
        <f t="shared" si="11"/>
        <v>-4.703109449435925E-7</v>
      </c>
      <c r="R47" s="60">
        <f t="shared" si="12"/>
        <v>-1.4107661247103241E-7</v>
      </c>
      <c r="S47" s="60">
        <f t="shared" si="2"/>
        <v>0</v>
      </c>
      <c r="T47" s="55">
        <f t="shared" si="13"/>
        <v>4.703109449435925E-7</v>
      </c>
      <c r="U47">
        <f t="shared" si="14"/>
        <v>0</v>
      </c>
    </row>
    <row r="48" spans="2:21">
      <c r="B48" s="55">
        <f t="shared" si="16"/>
        <v>50</v>
      </c>
      <c r="C48" s="55">
        <f t="shared" si="15"/>
        <v>50.000999999999998</v>
      </c>
      <c r="E48" s="55">
        <f t="shared" si="3"/>
        <v>2.2973735547937371E-3</v>
      </c>
      <c r="F48" s="55">
        <f t="shared" si="4"/>
        <v>-2.2844488293326387E-4</v>
      </c>
      <c r="G48" s="55">
        <f t="shared" si="5"/>
        <v>2.1414604806491163E-5</v>
      </c>
      <c r="H48" s="55">
        <f t="shared" si="6"/>
        <v>-1.1593940798001142E-3</v>
      </c>
      <c r="I48" s="55">
        <f t="shared" si="7"/>
        <v>3.7851502681931393E-5</v>
      </c>
      <c r="J48" s="55">
        <f t="shared" si="8"/>
        <v>0</v>
      </c>
      <c r="K48" s="55">
        <f t="shared" si="9"/>
        <v>0</v>
      </c>
      <c r="L48" s="55"/>
      <c r="N48" s="55">
        <f t="shared" si="0"/>
        <v>2.2973735547937371E-3</v>
      </c>
      <c r="O48" s="55">
        <f t="shared" si="1"/>
        <v>-2.1414604806491163E-5</v>
      </c>
      <c r="P48" s="46">
        <f t="shared" si="10"/>
        <v>0</v>
      </c>
      <c r="Q48" s="60">
        <f t="shared" si="11"/>
        <v>-1.137979474993623E-4</v>
      </c>
      <c r="R48" s="60">
        <f t="shared" si="12"/>
        <v>-5.3511285618238048E-5</v>
      </c>
      <c r="S48" s="60">
        <f t="shared" si="2"/>
        <v>3.7851502681931407E-6</v>
      </c>
      <c r="T48" s="55">
        <f t="shared" si="13"/>
        <v>1.137979474993623E-4</v>
      </c>
      <c r="U48">
        <f t="shared" si="14"/>
        <v>0</v>
      </c>
    </row>
    <row r="49" spans="2:22">
      <c r="B49" s="55">
        <f t="shared" si="16"/>
        <v>60</v>
      </c>
      <c r="C49" s="55">
        <f t="shared" si="15"/>
        <v>60.000999999999998</v>
      </c>
      <c r="E49" s="55">
        <f t="shared" si="3"/>
        <v>7.1528446263509765E-2</v>
      </c>
      <c r="F49" s="55">
        <f t="shared" si="4"/>
        <v>-1.2194321407665689E-2</v>
      </c>
      <c r="G49" s="55">
        <f t="shared" si="5"/>
        <v>1.8869095612895845E-3</v>
      </c>
      <c r="H49" s="55">
        <f t="shared" si="6"/>
        <v>-3.6707677912399678E-2</v>
      </c>
      <c r="I49" s="55">
        <f t="shared" si="7"/>
        <v>3.9813302942209436E-3</v>
      </c>
      <c r="J49" s="55">
        <f t="shared" si="8"/>
        <v>0</v>
      </c>
      <c r="K49" s="55">
        <f t="shared" si="9"/>
        <v>0</v>
      </c>
      <c r="L49" s="55"/>
      <c r="N49" s="55">
        <f t="shared" si="0"/>
        <v>7.1528446263509765E-2</v>
      </c>
      <c r="O49" s="55">
        <f t="shared" si="1"/>
        <v>-1.8869095612895845E-3</v>
      </c>
      <c r="P49" s="46">
        <f t="shared" si="10"/>
        <v>0</v>
      </c>
      <c r="Q49" s="60">
        <f t="shared" si="11"/>
        <v>-3.4820768351110092E-3</v>
      </c>
      <c r="R49" s="60">
        <f t="shared" si="12"/>
        <v>-2.2233151050650192E-3</v>
      </c>
      <c r="S49" s="60">
        <f t="shared" si="2"/>
        <v>2.9165087241135487E-4</v>
      </c>
      <c r="T49" s="55">
        <f t="shared" si="13"/>
        <v>3.4820768351110092E-3</v>
      </c>
      <c r="U49">
        <f t="shared" si="14"/>
        <v>0</v>
      </c>
    </row>
    <row r="50" spans="2:22">
      <c r="B50" s="55">
        <f t="shared" si="16"/>
        <v>70</v>
      </c>
      <c r="C50" s="55">
        <f t="shared" si="15"/>
        <v>70.001000000000005</v>
      </c>
      <c r="E50" s="55">
        <f t="shared" si="3"/>
        <v>0.65610165332679005</v>
      </c>
      <c r="F50" s="55">
        <f t="shared" si="4"/>
        <v>-0.17122676405909476</v>
      </c>
      <c r="G50" s="55">
        <f t="shared" si="5"/>
        <v>3.9654653297827018E-2</v>
      </c>
      <c r="H50" s="55">
        <f t="shared" si="6"/>
        <v>-0.34787815331230854</v>
      </c>
      <c r="I50" s="55">
        <f t="shared" si="7"/>
        <v>6.7463830872128733E-2</v>
      </c>
      <c r="J50" s="55">
        <f t="shared" si="8"/>
        <v>0</v>
      </c>
      <c r="K50" s="55">
        <f t="shared" si="9"/>
        <v>0</v>
      </c>
      <c r="L50" s="55"/>
      <c r="N50" s="55">
        <f t="shared" si="0"/>
        <v>0.65610165332679005</v>
      </c>
      <c r="O50" s="55">
        <f t="shared" si="1"/>
        <v>-3.9654653297827018E-2</v>
      </c>
      <c r="P50" s="46">
        <f t="shared" si="10"/>
        <v>0</v>
      </c>
      <c r="Q50" s="60">
        <f t="shared" si="11"/>
        <v>-3.0822350001448152E-2</v>
      </c>
      <c r="R50" s="60">
        <f t="shared" si="12"/>
        <v>-2.4118261941587876E-2</v>
      </c>
      <c r="S50" s="60">
        <f t="shared" si="2"/>
        <v>3.8221840841439645E-3</v>
      </c>
      <c r="T50" s="55">
        <f t="shared" si="13"/>
        <v>3.0822350001448152E-2</v>
      </c>
      <c r="U50">
        <f t="shared" si="14"/>
        <v>0</v>
      </c>
    </row>
    <row r="51" spans="2:22">
      <c r="B51" s="55">
        <f t="shared" si="16"/>
        <v>80</v>
      </c>
      <c r="C51" s="55">
        <f t="shared" si="15"/>
        <v>80.001000000000005</v>
      </c>
      <c r="E51" s="55">
        <f t="shared" si="3"/>
        <v>2.8123854557084256</v>
      </c>
      <c r="F51" s="55">
        <f t="shared" si="4"/>
        <v>-1.0255258566401517</v>
      </c>
      <c r="G51" s="55">
        <f t="shared" si="5"/>
        <v>0.32897669466533497</v>
      </c>
      <c r="H51" s="55">
        <f t="shared" si="6"/>
        <v>-1.5706810751868803</v>
      </c>
      <c r="I51" s="55">
        <f t="shared" si="7"/>
        <v>0.29510546163870599</v>
      </c>
      <c r="J51" s="55">
        <f t="shared" si="8"/>
        <v>0</v>
      </c>
      <c r="K51" s="55">
        <f t="shared" si="9"/>
        <v>0</v>
      </c>
      <c r="L51" s="55"/>
      <c r="N51" s="55">
        <f t="shared" si="0"/>
        <v>2.8123854557084256</v>
      </c>
      <c r="O51" s="55">
        <f t="shared" si="1"/>
        <v>-0.32897669466533497</v>
      </c>
      <c r="P51" s="46">
        <f t="shared" si="10"/>
        <v>0</v>
      </c>
      <c r="Q51" s="60">
        <f t="shared" si="11"/>
        <v>-0.12417043805215452</v>
      </c>
      <c r="R51" s="60">
        <f t="shared" si="12"/>
        <v>-0.1104850177867177</v>
      </c>
      <c r="S51" s="60">
        <f t="shared" si="2"/>
        <v>1.6927241642788787E-2</v>
      </c>
      <c r="T51" s="55">
        <f t="shared" si="13"/>
        <v>0.12417043805215452</v>
      </c>
      <c r="U51">
        <f t="shared" si="14"/>
        <v>0</v>
      </c>
    </row>
    <row r="52" spans="2:22">
      <c r="B52" s="55">
        <f t="shared" si="16"/>
        <v>90</v>
      </c>
      <c r="C52" s="55">
        <f t="shared" si="15"/>
        <v>90.001000000000005</v>
      </c>
      <c r="E52" s="55">
        <f t="shared" si="3"/>
        <v>7.4340136794089062</v>
      </c>
      <c r="F52" s="55">
        <f t="shared" si="4"/>
        <v>-3.5076117401138038</v>
      </c>
      <c r="G52" s="55">
        <f t="shared" si="5"/>
        <v>1.46094273152764</v>
      </c>
      <c r="H52" s="55">
        <f t="shared" si="6"/>
        <v>-4.4474782054682729</v>
      </c>
      <c r="I52" s="55">
        <f t="shared" si="7"/>
        <v>0.52963840654809591</v>
      </c>
      <c r="J52" s="55">
        <f t="shared" si="8"/>
        <v>0</v>
      </c>
      <c r="K52" s="55">
        <f t="shared" si="9"/>
        <v>0</v>
      </c>
      <c r="L52" s="55"/>
      <c r="N52" s="55">
        <f t="shared" si="0"/>
        <v>7.4340136794089062</v>
      </c>
      <c r="O52" s="55">
        <f t="shared" si="1"/>
        <v>-1.46094273152764</v>
      </c>
      <c r="P52" s="46">
        <f t="shared" si="10"/>
        <v>0</v>
      </c>
      <c r="Q52" s="60">
        <f t="shared" si="11"/>
        <v>-0.2986535473940633</v>
      </c>
      <c r="R52" s="60">
        <f t="shared" si="12"/>
        <v>-0.2863247920159685</v>
      </c>
      <c r="S52" s="60">
        <f t="shared" si="2"/>
        <v>4.0854921459499365E-2</v>
      </c>
      <c r="T52" s="55">
        <f t="shared" si="13"/>
        <v>0.2986535473940633</v>
      </c>
      <c r="U52">
        <f t="shared" si="14"/>
        <v>0</v>
      </c>
    </row>
    <row r="53" spans="2:22">
      <c r="B53" s="55">
        <f t="shared" si="16"/>
        <v>100</v>
      </c>
      <c r="C53" s="55">
        <f t="shared" si="15"/>
        <v>100.001</v>
      </c>
      <c r="E53" s="55">
        <f t="shared" si="3"/>
        <v>14.437116236460666</v>
      </c>
      <c r="F53" s="55">
        <f t="shared" si="4"/>
        <v>-8.2606060905109135</v>
      </c>
      <c r="G53" s="55">
        <f t="shared" si="5"/>
        <v>4.2257823929600642</v>
      </c>
      <c r="H53" s="55">
        <f t="shared" si="6"/>
        <v>-9.3314493147103654</v>
      </c>
      <c r="I53" s="55">
        <f t="shared" si="7"/>
        <v>0.60690381164729368</v>
      </c>
      <c r="J53" s="55">
        <f t="shared" si="8"/>
        <v>5</v>
      </c>
      <c r="K53" s="55">
        <f t="shared" si="9"/>
        <v>-5</v>
      </c>
      <c r="L53" s="55"/>
      <c r="N53" s="55">
        <f t="shared" si="0"/>
        <v>14.437116236460666</v>
      </c>
      <c r="O53" s="55">
        <f t="shared" si="1"/>
        <v>-4.2257823929600642</v>
      </c>
      <c r="P53" s="46">
        <f t="shared" si="10"/>
        <v>0.5</v>
      </c>
      <c r="Q53" s="60">
        <f t="shared" si="11"/>
        <v>-0.51056669217503015</v>
      </c>
      <c r="R53" s="60">
        <f t="shared" si="12"/>
        <v>-0.50828002605088018</v>
      </c>
      <c r="S53" s="60">
        <f t="shared" si="2"/>
        <v>3.3331542855587863E-2</v>
      </c>
      <c r="T53" s="55">
        <f t="shared" si="13"/>
        <v>0.51056669217503015</v>
      </c>
      <c r="U53">
        <f t="shared" si="14"/>
        <v>-1</v>
      </c>
      <c r="V53" s="1">
        <v>-3.3331542855587898E-2</v>
      </c>
    </row>
    <row r="54" spans="2:22">
      <c r="B54" s="55">
        <f t="shared" si="16"/>
        <v>110</v>
      </c>
      <c r="C54" s="55">
        <f t="shared" si="15"/>
        <v>110.001</v>
      </c>
      <c r="E54" s="55">
        <f t="shared" si="3"/>
        <v>23.050920314565825</v>
      </c>
      <c r="F54" s="55">
        <f t="shared" si="4"/>
        <v>-15.16716265897082</v>
      </c>
      <c r="G54" s="55">
        <f t="shared" si="5"/>
        <v>9.0860167192775521</v>
      </c>
      <c r="H54" s="55">
        <f t="shared" si="6"/>
        <v>-16.068468516921691</v>
      </c>
      <c r="I54" s="55">
        <f t="shared" si="7"/>
        <v>0.50064735741067956</v>
      </c>
      <c r="J54" s="55">
        <f t="shared" si="8"/>
        <v>0</v>
      </c>
      <c r="K54" s="55">
        <f t="shared" si="9"/>
        <v>-10</v>
      </c>
      <c r="L54" s="55"/>
      <c r="N54" s="55">
        <f t="shared" si="0"/>
        <v>23.050920314565825</v>
      </c>
      <c r="O54" s="55">
        <f t="shared" si="1"/>
        <v>-9.0860167192775521</v>
      </c>
      <c r="P54" s="46">
        <f t="shared" si="10"/>
        <v>0</v>
      </c>
      <c r="Q54" s="60">
        <f t="shared" si="11"/>
        <v>-0.6982451797644138</v>
      </c>
      <c r="R54" s="60">
        <f t="shared" si="12"/>
        <v>-0.70528357838656741</v>
      </c>
      <c r="S54" s="60">
        <f t="shared" si="2"/>
        <v>5.8756652878963825E-2</v>
      </c>
      <c r="T54" s="55">
        <f t="shared" si="13"/>
        <v>0.6982451797644138</v>
      </c>
      <c r="U54">
        <f t="shared" si="14"/>
        <v>-1</v>
      </c>
    </row>
    <row r="55" spans="2:22">
      <c r="B55" s="55">
        <f t="shared" si="16"/>
        <v>120</v>
      </c>
      <c r="C55" s="55">
        <f t="shared" si="15"/>
        <v>120.001</v>
      </c>
      <c r="E55" s="55">
        <f t="shared" si="3"/>
        <v>32.501330819340104</v>
      </c>
      <c r="F55" s="55">
        <f t="shared" si="4"/>
        <v>-23.601144109606896</v>
      </c>
      <c r="G55" s="55">
        <f t="shared" si="5"/>
        <v>15.911019731269162</v>
      </c>
      <c r="H55" s="55">
        <f t="shared" si="6"/>
        <v>-24.206175275304634</v>
      </c>
      <c r="I55" s="55">
        <f t="shared" si="7"/>
        <v>0.31815464001150401</v>
      </c>
      <c r="J55" s="55">
        <f t="shared" si="8"/>
        <v>0</v>
      </c>
      <c r="K55" s="55">
        <f t="shared" si="9"/>
        <v>-20</v>
      </c>
      <c r="L55" s="55"/>
      <c r="N55" s="55">
        <f t="shared" si="0"/>
        <v>32.501330819340104</v>
      </c>
      <c r="O55" s="55">
        <f t="shared" si="1"/>
        <v>-15.911019731269162</v>
      </c>
      <c r="P55" s="46">
        <f t="shared" si="10"/>
        <v>0</v>
      </c>
      <c r="Q55" s="60">
        <f t="shared" si="11"/>
        <v>-0.82951555440354718</v>
      </c>
      <c r="R55" s="60">
        <f t="shared" si="12"/>
        <v>-0.83965029490991094</v>
      </c>
      <c r="S55" s="60">
        <f t="shared" si="2"/>
        <v>5.3893295629688302E-2</v>
      </c>
      <c r="T55" s="55">
        <f t="shared" si="13"/>
        <v>0.82951555440354718</v>
      </c>
      <c r="U55">
        <f t="shared" si="14"/>
        <v>-1</v>
      </c>
    </row>
    <row r="56" spans="2:22">
      <c r="B56" s="55">
        <f t="shared" si="16"/>
        <v>130</v>
      </c>
      <c r="C56" s="55">
        <f t="shared" si="15"/>
        <v>130.001</v>
      </c>
      <c r="E56" s="55">
        <f t="shared" si="3"/>
        <v>42.308605651129518</v>
      </c>
      <c r="F56" s="55">
        <f t="shared" si="4"/>
        <v>-32.904156974349696</v>
      </c>
      <c r="G56" s="55">
        <f t="shared" si="5"/>
        <v>24.183601113699144</v>
      </c>
      <c r="H56" s="55">
        <f t="shared" si="6"/>
        <v>-33.246103382414333</v>
      </c>
      <c r="I56" s="55">
        <f t="shared" si="7"/>
        <v>0.14881015412092266</v>
      </c>
      <c r="J56" s="55">
        <f t="shared" si="8"/>
        <v>0</v>
      </c>
      <c r="K56" s="55">
        <f t="shared" si="9"/>
        <v>-30</v>
      </c>
      <c r="L56" s="55"/>
      <c r="N56" s="55">
        <f t="shared" si="0"/>
        <v>42.308605651129518</v>
      </c>
      <c r="O56" s="55">
        <f t="shared" si="1"/>
        <v>-24.183601113699144</v>
      </c>
      <c r="P56" s="46">
        <f t="shared" si="10"/>
        <v>0</v>
      </c>
      <c r="Q56" s="60">
        <f t="shared" si="11"/>
        <v>-0.90625022687151868</v>
      </c>
      <c r="R56" s="60">
        <f t="shared" si="12"/>
        <v>-0.91472027978976655</v>
      </c>
      <c r="S56" s="60">
        <f t="shared" si="2"/>
        <v>3.2470412812020316E-2</v>
      </c>
      <c r="T56" s="55">
        <f t="shared" si="13"/>
        <v>0.90625022687151868</v>
      </c>
      <c r="U56">
        <f t="shared" si="14"/>
        <v>-1</v>
      </c>
    </row>
    <row r="57" spans="2:22">
      <c r="B57" s="55">
        <f t="shared" si="16"/>
        <v>140</v>
      </c>
      <c r="C57" s="55">
        <f t="shared" si="15"/>
        <v>140.001</v>
      </c>
      <c r="E57" s="55">
        <f t="shared" si="3"/>
        <v>52.247199017601474</v>
      </c>
      <c r="F57" s="55">
        <f t="shared" si="4"/>
        <v>-42.624937256453116</v>
      </c>
      <c r="G57" s="55">
        <f t="shared" si="5"/>
        <v>33.340949893449626</v>
      </c>
      <c r="H57" s="55">
        <f t="shared" si="6"/>
        <v>-42.794074455525546</v>
      </c>
      <c r="I57" s="55">
        <f t="shared" si="7"/>
        <v>5.4843501906557339E-2</v>
      </c>
      <c r="J57" s="55">
        <f t="shared" si="8"/>
        <v>0</v>
      </c>
      <c r="K57" s="55">
        <f t="shared" si="9"/>
        <v>-40</v>
      </c>
      <c r="L57" s="55"/>
      <c r="N57" s="55">
        <f t="shared" si="0"/>
        <v>52.247199017601474</v>
      </c>
      <c r="O57" s="55">
        <f t="shared" si="1"/>
        <v>-33.340949893449626</v>
      </c>
      <c r="P57" s="46">
        <f t="shared" si="10"/>
        <v>0</v>
      </c>
      <c r="Q57" s="60">
        <f t="shared" si="11"/>
        <v>-0.94531245620759252</v>
      </c>
      <c r="R57" s="60">
        <f t="shared" si="12"/>
        <v>-0.95072372436273012</v>
      </c>
      <c r="S57" s="60">
        <f t="shared" si="2"/>
        <v>2.3754423584394831E-2</v>
      </c>
      <c r="T57" s="55">
        <f t="shared" si="13"/>
        <v>0.94531245620759252</v>
      </c>
      <c r="U57">
        <f t="shared" si="14"/>
        <v>-1</v>
      </c>
    </row>
    <row r="58" spans="2:22">
      <c r="B58" s="55">
        <f t="shared" si="16"/>
        <v>150</v>
      </c>
      <c r="C58" s="55">
        <f t="shared" si="15"/>
        <v>150.001</v>
      </c>
      <c r="E58" s="55">
        <f t="shared" si="3"/>
        <v>62.229027104674984</v>
      </c>
      <c r="F58" s="55">
        <f t="shared" si="4"/>
        <v>-52.522140044438949</v>
      </c>
      <c r="G58" s="55">
        <f t="shared" si="5"/>
        <v>42.965687822638358</v>
      </c>
      <c r="H58" s="55">
        <f t="shared" si="6"/>
        <v>-52.597357463656671</v>
      </c>
      <c r="I58" s="55">
        <f t="shared" si="7"/>
        <v>1.6957141450056234E-2</v>
      </c>
      <c r="J58" s="55">
        <f t="shared" si="8"/>
        <v>0</v>
      </c>
      <c r="K58" s="55">
        <f t="shared" si="9"/>
        <v>-50</v>
      </c>
      <c r="L58" s="55"/>
      <c r="N58" s="55">
        <f t="shared" si="0"/>
        <v>62.229027104674984</v>
      </c>
      <c r="O58" s="55">
        <f t="shared" si="1"/>
        <v>-42.965687822638358</v>
      </c>
      <c r="P58" s="46">
        <f t="shared" si="10"/>
        <v>0</v>
      </c>
      <c r="Q58" s="60">
        <f t="shared" si="11"/>
        <v>-0.96316696410183145</v>
      </c>
      <c r="R58" s="60">
        <f t="shared" si="12"/>
        <v>-0.96607323711166582</v>
      </c>
      <c r="S58" s="60">
        <f t="shared" si="2"/>
        <v>1.0901560000676444E-2</v>
      </c>
      <c r="T58" s="55">
        <f t="shared" si="13"/>
        <v>0.96316696410183145</v>
      </c>
      <c r="U58">
        <f t="shared" si="14"/>
        <v>-1</v>
      </c>
    </row>
    <row r="59" spans="2:22">
      <c r="B59" s="55">
        <f t="shared" si="16"/>
        <v>160</v>
      </c>
      <c r="C59" s="55">
        <f t="shared" si="15"/>
        <v>160.001</v>
      </c>
      <c r="E59" s="55">
        <f t="shared" si="3"/>
        <v>72.223944249691186</v>
      </c>
      <c r="F59" s="55">
        <f t="shared" si="4"/>
        <v>-62.486748751836188</v>
      </c>
      <c r="G59" s="55">
        <f t="shared" si="5"/>
        <v>52.81061271578605</v>
      </c>
      <c r="H59" s="55">
        <f t="shared" si="6"/>
        <v>-62.517278482738618</v>
      </c>
      <c r="I59" s="55">
        <f t="shared" si="7"/>
        <v>4.733893974516983E-3</v>
      </c>
      <c r="J59" s="55">
        <f t="shared" si="8"/>
        <v>0</v>
      </c>
      <c r="K59" s="55">
        <f t="shared" si="9"/>
        <v>-60</v>
      </c>
      <c r="L59" s="55"/>
      <c r="N59" s="55">
        <f t="shared" si="0"/>
        <v>72.223944249691186</v>
      </c>
      <c r="O59" s="55">
        <f t="shared" si="1"/>
        <v>-52.81061271578605</v>
      </c>
      <c r="P59" s="46">
        <f t="shared" si="10"/>
        <v>0</v>
      </c>
      <c r="Q59" s="60">
        <f t="shared" si="11"/>
        <v>-0.97066657669525691</v>
      </c>
      <c r="R59" s="60">
        <f t="shared" si="12"/>
        <v>-0.9720463302282587</v>
      </c>
      <c r="S59" s="60">
        <f t="shared" si="2"/>
        <v>5.6472807862823198E-3</v>
      </c>
      <c r="T59" s="55">
        <f t="shared" si="13"/>
        <v>0.97066657669525691</v>
      </c>
      <c r="U59">
        <f t="shared" si="14"/>
        <v>-1</v>
      </c>
    </row>
    <row r="60" spans="2:22">
      <c r="B60" s="55">
        <f t="shared" si="16"/>
        <v>170</v>
      </c>
      <c r="C60" s="55">
        <f t="shared" si="15"/>
        <v>170.001</v>
      </c>
      <c r="E60" s="55">
        <f t="shared" si="3"/>
        <v>82.222581633806058</v>
      </c>
      <c r="F60" s="55">
        <f t="shared" si="4"/>
        <v>-72.47519038235302</v>
      </c>
      <c r="G60" s="55">
        <f t="shared" si="5"/>
        <v>62.750307399639446</v>
      </c>
      <c r="H60" s="55">
        <f t="shared" si="6"/>
        <v>-72.486444516722756</v>
      </c>
      <c r="I60" s="55">
        <f t="shared" si="7"/>
        <v>1.1932722056676578E-3</v>
      </c>
      <c r="J60" s="55">
        <f t="shared" si="8"/>
        <v>0</v>
      </c>
      <c r="K60" s="55">
        <f t="shared" si="9"/>
        <v>-70</v>
      </c>
      <c r="L60" s="55"/>
      <c r="N60" s="55">
        <f t="shared" si="0"/>
        <v>82.222581633806058</v>
      </c>
      <c r="O60" s="55">
        <f t="shared" si="1"/>
        <v>-62.750307399639446</v>
      </c>
      <c r="P60" s="46">
        <f t="shared" si="10"/>
        <v>0</v>
      </c>
      <c r="Q60" s="60">
        <f t="shared" si="11"/>
        <v>-0.97361371170833078</v>
      </c>
      <c r="R60" s="60">
        <f t="shared" si="12"/>
        <v>-0.97421136701078592</v>
      </c>
      <c r="S60" s="60">
        <f t="shared" si="2"/>
        <v>3.347560636480939E-3</v>
      </c>
      <c r="T60" s="55">
        <f t="shared" si="13"/>
        <v>0.97361371170833078</v>
      </c>
      <c r="U60">
        <f t="shared" si="14"/>
        <v>-1</v>
      </c>
    </row>
    <row r="61" spans="2:22">
      <c r="B61" s="55">
        <f t="shared" si="16"/>
        <v>180</v>
      </c>
      <c r="C61" s="55">
        <f t="shared" si="15"/>
        <v>180.001</v>
      </c>
      <c r="E61" s="55">
        <f t="shared" si="3"/>
        <v>92.22222765307454</v>
      </c>
      <c r="F61" s="55">
        <f t="shared" si="4"/>
        <v>-82.471567753160841</v>
      </c>
      <c r="G61" s="55">
        <f t="shared" si="5"/>
        <v>72.727977836414084</v>
      </c>
      <c r="H61" s="55">
        <f t="shared" si="6"/>
        <v>-82.475102744744305</v>
      </c>
      <c r="I61" s="55">
        <f t="shared" si="7"/>
        <v>2.8643057197761675E-4</v>
      </c>
      <c r="J61" s="55">
        <f t="shared" si="8"/>
        <v>0</v>
      </c>
      <c r="K61" s="55">
        <f t="shared" si="9"/>
        <v>-80</v>
      </c>
      <c r="L61" s="55"/>
      <c r="N61" s="55">
        <f t="shared" si="0"/>
        <v>92.22222765307454</v>
      </c>
      <c r="O61" s="55">
        <f t="shared" si="1"/>
        <v>-72.727977836414084</v>
      </c>
      <c r="P61" s="46">
        <f t="shared" si="10"/>
        <v>0</v>
      </c>
      <c r="Q61" s="60">
        <f t="shared" si="11"/>
        <v>-0.97471249083302336</v>
      </c>
      <c r="R61" s="60">
        <f t="shared" si="12"/>
        <v>-0.97495392352165855</v>
      </c>
      <c r="S61" s="60">
        <f t="shared" si="2"/>
        <v>2.0964230342540879E-3</v>
      </c>
      <c r="T61" s="55">
        <f t="shared" si="13"/>
        <v>0.97471249083302336</v>
      </c>
      <c r="U61">
        <f t="shared" si="14"/>
        <v>-1</v>
      </c>
    </row>
    <row r="62" spans="2:22">
      <c r="B62" s="55">
        <f t="shared" si="16"/>
        <v>190</v>
      </c>
      <c r="C62" s="55">
        <f t="shared" si="15"/>
        <v>190.001</v>
      </c>
      <c r="E62" s="55">
        <f t="shared" si="3"/>
        <v>102.22213776119246</v>
      </c>
      <c r="F62" s="55">
        <f t="shared" si="4"/>
        <v>-92.470467826943164</v>
      </c>
      <c r="G62" s="55">
        <f t="shared" si="5"/>
        <v>82.720028115922972</v>
      </c>
      <c r="H62" s="55">
        <f t="shared" si="6"/>
        <v>-92.471082938557714</v>
      </c>
      <c r="I62" s="55">
        <f t="shared" si="7"/>
        <v>5.8011359945853055E-5</v>
      </c>
      <c r="J62" s="55">
        <f t="shared" si="8"/>
        <v>0</v>
      </c>
      <c r="K62" s="55">
        <f t="shared" si="9"/>
        <v>-90</v>
      </c>
      <c r="L62" s="55"/>
      <c r="N62" s="55">
        <f t="shared" si="0"/>
        <v>102.22213776119246</v>
      </c>
      <c r="O62" s="55">
        <f t="shared" si="1"/>
        <v>-82.720028115922972</v>
      </c>
      <c r="P62" s="46">
        <f t="shared" si="10"/>
        <v>0</v>
      </c>
      <c r="Q62" s="60">
        <f t="shared" si="11"/>
        <v>-0.9751054822634746</v>
      </c>
      <c r="R62" s="60">
        <f t="shared" si="12"/>
        <v>-0.97519790442998555</v>
      </c>
      <c r="S62" s="60">
        <f t="shared" si="2"/>
        <v>7.4740530540514814E-4</v>
      </c>
      <c r="T62" s="55">
        <f t="shared" si="13"/>
        <v>0.9751054822634746</v>
      </c>
      <c r="U62">
        <f t="shared" si="14"/>
        <v>-1</v>
      </c>
    </row>
    <row r="63" spans="2:22">
      <c r="B63" s="55">
        <f t="shared" si="16"/>
        <v>200</v>
      </c>
      <c r="C63" s="55">
        <f t="shared" si="15"/>
        <v>200.001</v>
      </c>
      <c r="E63" s="55">
        <f t="shared" si="3"/>
        <v>112.22211529054998</v>
      </c>
      <c r="F63" s="55">
        <f t="shared" si="4"/>
        <v>-102.47014182018781</v>
      </c>
      <c r="G63" s="55">
        <f t="shared" si="5"/>
        <v>92.717284838230526</v>
      </c>
      <c r="H63" s="55">
        <f t="shared" si="6"/>
        <v>-102.46970006439025</v>
      </c>
      <c r="I63" s="55">
        <f t="shared" si="7"/>
        <v>1.5224997941691689E-5</v>
      </c>
      <c r="J63" s="55">
        <f t="shared" si="8"/>
        <v>0</v>
      </c>
      <c r="K63" s="55">
        <f t="shared" si="9"/>
        <v>-100</v>
      </c>
      <c r="L63" s="55"/>
      <c r="N63" s="55">
        <f t="shared" si="0"/>
        <v>112.22211529054998</v>
      </c>
      <c r="O63" s="55">
        <f t="shared" si="1"/>
        <v>-92.717284838230526</v>
      </c>
      <c r="P63" s="46">
        <f t="shared" si="10"/>
        <v>0</v>
      </c>
      <c r="Q63" s="60">
        <f t="shared" si="11"/>
        <v>-0.97524152261597319</v>
      </c>
      <c r="R63" s="60">
        <f t="shared" si="12"/>
        <v>-0.97527545623387113</v>
      </c>
      <c r="S63" s="60">
        <f t="shared" si="2"/>
        <v>2.8329279066559434E-4</v>
      </c>
      <c r="T63" s="55">
        <f t="shared" si="13"/>
        <v>0.97524152261597319</v>
      </c>
      <c r="U63">
        <f t="shared" si="14"/>
        <v>-1</v>
      </c>
    </row>
    <row r="64" spans="2:22">
      <c r="B64" s="55"/>
      <c r="C64" s="55"/>
      <c r="F64" s="55"/>
      <c r="J64" s="55"/>
    </row>
    <row r="65" spans="2:10">
      <c r="B65" s="55"/>
      <c r="C65" s="55"/>
      <c r="F65" s="55"/>
      <c r="J65" s="55"/>
    </row>
    <row r="66" spans="2:10">
      <c r="B66" s="55"/>
      <c r="C66" s="55"/>
      <c r="F66" s="55"/>
      <c r="J66" s="55"/>
    </row>
    <row r="67" spans="2:10">
      <c r="B67" s="55"/>
      <c r="C67" s="55"/>
      <c r="F67" s="55"/>
      <c r="J67" s="55"/>
    </row>
    <row r="68" spans="2:10">
      <c r="B68" s="55"/>
      <c r="C68" s="55"/>
      <c r="F68" s="55"/>
      <c r="J68" s="55"/>
    </row>
    <row r="69" spans="2:10">
      <c r="B69" s="55"/>
      <c r="C69" s="55"/>
      <c r="F69" s="55"/>
      <c r="J69" s="55"/>
    </row>
    <row r="70" spans="2:10">
      <c r="B70" s="55"/>
      <c r="C70" s="55"/>
      <c r="F70" s="55"/>
      <c r="J70" s="55"/>
    </row>
    <row r="71" spans="2:10">
      <c r="B71" s="55"/>
      <c r="C71" s="55"/>
      <c r="F71" s="55"/>
      <c r="J71" s="55"/>
    </row>
    <row r="72" spans="2:10">
      <c r="B72" s="55"/>
      <c r="C72" s="55"/>
      <c r="F72" s="55"/>
      <c r="J72" s="55"/>
    </row>
    <row r="73" spans="2:10">
      <c r="B73" s="55"/>
      <c r="C73" s="55"/>
      <c r="F73" s="55"/>
      <c r="J73" s="55"/>
    </row>
    <row r="74" spans="2:10">
      <c r="B74" s="55"/>
      <c r="C74" s="55"/>
      <c r="F74" s="55"/>
      <c r="J74" s="55"/>
    </row>
    <row r="75" spans="2:10">
      <c r="B75" s="55"/>
      <c r="C75" s="55"/>
      <c r="F75" s="55"/>
      <c r="J75" s="55"/>
    </row>
    <row r="76" spans="2:10">
      <c r="B76" s="55"/>
      <c r="C76" s="55"/>
      <c r="F76" s="55"/>
      <c r="J76" s="55"/>
    </row>
    <row r="77" spans="2:10">
      <c r="B77" s="55"/>
      <c r="C77" s="55"/>
      <c r="F77" s="55"/>
      <c r="J77" s="55"/>
    </row>
    <row r="78" spans="2:10">
      <c r="B78" s="55"/>
      <c r="C78" s="55"/>
      <c r="F78" s="55"/>
      <c r="J78" s="55"/>
    </row>
    <row r="79" spans="2:10">
      <c r="B79" s="55"/>
      <c r="C79" s="55"/>
      <c r="F79" s="55"/>
      <c r="J79" s="55"/>
    </row>
    <row r="80" spans="2:10">
      <c r="B80" s="55"/>
      <c r="C80" s="55"/>
      <c r="F80" s="55"/>
      <c r="J80" s="55"/>
    </row>
    <row r="81" spans="2:10">
      <c r="B81" s="55"/>
      <c r="C81" s="55"/>
      <c r="F81" s="55"/>
      <c r="J81" s="55"/>
    </row>
    <row r="82" spans="2:10">
      <c r="B82" s="55"/>
      <c r="C82" s="55"/>
      <c r="F82" s="55"/>
      <c r="J82" s="55"/>
    </row>
    <row r="83" spans="2:10">
      <c r="B83" s="55"/>
      <c r="C83" s="55"/>
      <c r="F83" s="55"/>
      <c r="J83" s="55"/>
    </row>
    <row r="84" spans="2:10">
      <c r="B84" s="55"/>
      <c r="C84" s="55"/>
      <c r="F84" s="55"/>
      <c r="J84" s="55"/>
    </row>
    <row r="85" spans="2:10">
      <c r="B85" s="55"/>
      <c r="C85" s="55"/>
      <c r="F85" s="55"/>
      <c r="J85" s="55"/>
    </row>
    <row r="86" spans="2:10">
      <c r="B86" s="55"/>
      <c r="C86" s="55"/>
      <c r="F86" s="55"/>
      <c r="J86" s="55"/>
    </row>
    <row r="87" spans="2:10">
      <c r="B87" s="55"/>
      <c r="C87" s="55"/>
      <c r="F87" s="55"/>
      <c r="J87" s="55"/>
    </row>
    <row r="88" spans="2:10">
      <c r="B88" s="55"/>
      <c r="C88" s="55"/>
      <c r="F88" s="55"/>
      <c r="J88" s="55"/>
    </row>
    <row r="89" spans="2:10">
      <c r="B89" s="55"/>
      <c r="C89" s="55"/>
      <c r="F89" s="55"/>
      <c r="J89" s="55"/>
    </row>
    <row r="90" spans="2:10">
      <c r="B90" s="55"/>
      <c r="C90" s="55"/>
      <c r="F90" s="55"/>
      <c r="J90" s="55"/>
    </row>
    <row r="91" spans="2:10">
      <c r="B91" s="55"/>
      <c r="C91" s="55"/>
      <c r="F91" s="55"/>
      <c r="J91" s="5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EFD</vt:lpstr>
      <vt:lpstr>Charts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plamen</dc:creator>
  <cp:lastModifiedBy>BULGARIA</cp:lastModifiedBy>
  <dcterms:created xsi:type="dcterms:W3CDTF">2009-08-06T21:18:06Z</dcterms:created>
  <dcterms:modified xsi:type="dcterms:W3CDTF">2009-08-11T21:03:41Z</dcterms:modified>
</cp:coreProperties>
</file>